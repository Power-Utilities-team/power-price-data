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1" r:id="rId27"/>
    <sheet name="Charts" sheetId="14" r:id="rId20"/>
    <sheet name="READ_ME_FIRST" sheetId="1" r:id="rId1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<sst xmlns="http://schemas.openxmlformats.org/spreadsheetml/2006/main" count="102898" uniqueCount="2197">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</sst>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20"/>
      <color rgb="FFC00000"/>
      <name val="Calibri"/>
    </font>
    <font>
      <b/>
      <sz val="14"/>
      <color rgb="FF006100"/>
      <name val="Calibri"/>
    </font>
    <font>
      <sz val="11"/>
      <color rgb="FF595959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Fig5_Capture!$AJ$13:$AJ$19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Fig5_Capture!$AK$13:$AK$19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Fig5_Capture!$AL$13:$AL$19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Fig5_Capture!$AM$13:$AM$19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Fig5_Capture!$AN$13:$AN$19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Fig5_Capture!$AO$13:$AO$19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Fig5_Capture!$AP$13:$AP$19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ABC4C4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CB6BB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6EA8B2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5893A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4A779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3C5A8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D_NetloadDuck!$I$2:$I$25</c:f>
              <c:numCache>
                <c:formatCode>General</c:formatCode>
                <c:ptCount val="24"/>
                <c:pt idx="0">
                  <c:v>28.68</c:v>
                </c:pt>
                <c:pt idx="1">
                  <c:v>28.64</c:v>
                </c:pt>
                <c:pt idx="2">
                  <c:v>29.32</c:v>
                </c:pt>
                <c:pt idx="3">
                  <c:v>30.83</c:v>
                </c:pt>
                <c:pt idx="4">
                  <c:v>33.37</c:v>
                </c:pt>
                <c:pt idx="5">
                  <c:v>34.6</c:v>
                </c:pt>
                <c:pt idx="6">
                  <c:v>32.67</c:v>
                </c:pt>
                <c:pt idx="7">
                  <c:v>27.52</c:v>
                </c:pt>
                <c:pt idx="8">
                  <c:v>22.12</c:v>
                </c:pt>
                <c:pt idx="9">
                  <c:v>17.52</c:v>
                </c:pt>
                <c:pt idx="10">
                  <c:v>14.56</c:v>
                </c:pt>
                <c:pt idx="11">
                  <c:v>13.22</c:v>
                </c:pt>
                <c:pt idx="12">
                  <c:v>13.12</c:v>
                </c:pt>
                <c:pt idx="13">
                  <c:v>15.13</c:v>
                </c:pt>
                <c:pt idx="14">
                  <c:v>19.7</c:v>
                </c:pt>
                <c:pt idx="15">
                  <c:v>26.52</c:v>
                </c:pt>
                <c:pt idx="16">
                  <c:v>35.02</c:v>
                </c:pt>
                <c:pt idx="17">
                  <c:v>40.93</c:v>
                </c:pt>
                <c:pt idx="18">
                  <c:v>42.2</c:v>
                </c:pt>
                <c:pt idx="19">
                  <c:v>40.05</c:v>
                </c:pt>
                <c:pt idx="20">
                  <c:v>37.18</c:v>
                </c:pt>
                <c:pt idx="21">
                  <c:v>34.33</c:v>
                </c:pt>
                <c:pt idx="22">
                  <c:v>31.6</c:v>
                </c:pt>
                <c:pt idx="23">
                  <c:v>29.75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fredhill123/power-price-data/main/published/charts/fig7_gen_mix.csv" TargetMode="External"/><Relationship Id="rId3" Type="http://schemas.openxmlformats.org/officeDocument/2006/relationships/hyperlink" Target="https://raw.githubusercontent.com/fredhill123/power-price-data/main/published/charts/fig3_neg_hours_annual.csv" TargetMode="External"/><Relationship Id="rId7" Type="http://schemas.openxmlformats.org/officeDocument/2006/relationships/hyperlink" Target="https://raw.githubusercontent.com/fredhill123/power-price-data/main/published/charts/fig6_daily_minmax.csv" TargetMode="External"/><Relationship Id="rId12" Type="http://schemas.openxmlformats.org/officeDocument/2006/relationships/hyperlink" Target="https://raw.githubusercontent.com/fredhill123/power-price-data/main/published/charts/capture_monthly.csv" TargetMode="External"/><Relationship Id="rId2" Type="http://schemas.openxmlformats.org/officeDocument/2006/relationships/hyperlink" Target="https://raw.githubusercontent.com/fredhill123/power-price-data/main/published/charts/fig2_intraday_indexed.csv" TargetMode="External"/><Relationship Id="rId1" Type="http://schemas.openxmlformats.org/officeDocument/2006/relationships/hyperlink" Target="https://raw.githubusercontent.com/fredhill123/power-price-data/main/published/charts/fig1_price_sd.csv" TargetMode="External"/><Relationship Id="rId6" Type="http://schemas.openxmlformats.org/officeDocument/2006/relationships/hyperlink" Target="https://raw.githubusercontent.com/fredhill123/power-price-data/main/published/charts/fig5_capture_pct.csv" TargetMode="External"/><Relationship Id="rId11" Type="http://schemas.openxmlformats.org/officeDocument/2006/relationships/hyperlink" Target="https://raw.githubusercontent.com/fredhill123/power-price-data/main/published/charts/fig5_capture_abs.csv" TargetMode="External"/><Relationship Id="rId5" Type="http://schemas.openxmlformats.org/officeDocument/2006/relationships/hyperlink" Target="https://raw.githubusercontent.com/fredhill123/power-price-data/main/published/charts/fig4_duration_curve.csv" TargetMode="External"/><Relationship Id="rId10" Type="http://schemas.openxmlformats.org/officeDocument/2006/relationships/hyperlink" Target="https://raw.githubusercontent.com/fredhill123/power-price-data/main/published/charts/fig2_intraday_avg.csv" TargetMode="External"/><Relationship Id="rId4" Type="http://schemas.openxmlformats.org/officeDocument/2006/relationships/hyperlink" Target="https://raw.githubusercontent.com/fredhill123/power-price-data/main/published/charts/fig3_cum_near_neg.csv" TargetMode="External"/><Relationship Id="rId9" Type="http://schemas.openxmlformats.org/officeDocument/2006/relationships/hyperlink" Target="https://raw.githubusercontent.com/fredhill123/power-price-data/main/published/charts/fig9_capacity.csv" TargetMode="External"/><Relationship Id="rId13" Type="http://schemas.openxmlformats.org/officeDocument/2006/relationships/hyperlink" Target="https://power-price-data.fredhill.workers.dev" TargetMode="External"/></Relationships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B27" sqref="B27"/>
    </sheetView>
  </sheetViews>
  <sheetFormatPr defaultRowHeight="14.5" x14ac:dyDescent="0.35"/>
  <cols>
    <col min="1" max="1" width="20" customWidth="1"/>
    <col min="2" max="2" width="78" customWidth="1"/>
    <col min="3" max="3" width="22" customWidth="1"/>
  </cols>
  <sheetData>
    <row r="1" spans="1:3">
      <c r="A1" s="1" t="inlineStr">
        <is>
          <t>Power Price Data — live workbook</t>
        </is>
      </c>
    </row>
    <row r="2" spans="1:3" x14ac:dyDescent="0.35">
      <c r="A2" s="2"/>
    </row>
    <row r="3" spans="1:3">
      <c r="A3" s="3" t="inlineStr">
        <is>
          <t>Everything is already set up. There is nothing to install, wire or run.</t>
        </is>
      </c>
    </row>
    <row r="4" spans="1:3">
      <c r="A4" s="2" t="inlineStr">
        <is>
          <t>The numbers refresh themselves from GitHub every time you open this file.</t>
        </is>
      </c>
    </row>
    <row r="5" spans="1:3">
      <c r="A5" s="4" t="inlineStr">
        <is>
          <t>Status page — last update, next update, downloads, refresh now:</t>
        </is>
      </c>
    </row>
    <row r="6" spans="1:3">
      <c r="A6" s="4" t="inlineStr">
        <is>
          <t>https://power-price-data.fredhill.workers.dev</t>
        </is>
      </c>
    </row>
    <row r="7" spans="1:3">
      <c r="A7" s="5" t="inlineStr">
        <is>
          <t>If a CHART is wrong (a missing year, a technology that should not be there), download a fresh workbook from that page — refreshing can never change a chart, only the numbers inside it.</t>
        </is>
      </c>
    </row>
    <row r="8" spans="1:3">
      <c r="A8" s="5" t="inlineStr">
        <is>
          <t>Data freshness is shown on the Status tab (the first tab).</t>
        </is>
      </c>
    </row>
    <row r="9" spans="1:3" x14ac:dyDescent="0.35">
      <c r="A9" s="6" t="s">
        <v>6</v>
      </c>
      <c r="B9" s="6" t="s">
        <v>7</v>
      </c>
      <c r="C9" s="6" t="s">
        <v>8</v>
      </c>
    </row>
    <row r="10" spans="1:3" x14ac:dyDescent="0.35">
      <c r="A10" t="s">
        <v>9</v>
      </c>
      <c r="B10" s="7" t="s">
        <v>10</v>
      </c>
      <c r="C10" t="str">
        <f>Fig1_PriceSD!$A$1</f>
        <v>year</v>
      </c>
    </row>
    <row r="11" spans="1:3" x14ac:dyDescent="0.35">
      <c r="A11" t="s">
        <v>11</v>
      </c>
      <c r="B11" s="7" t="s">
        <v>12</v>
      </c>
      <c r="C11" t="str">
        <f>Fig2_Intraday!$A$1</f>
        <v>hour_utc</v>
      </c>
    </row>
    <row r="12" spans="1:3" x14ac:dyDescent="0.35">
      <c r="A12" t="s">
        <v>13</v>
      </c>
      <c r="B12" s="7" t="s">
        <v>14</v>
      </c>
      <c r="C12" t="str">
        <f>Fig3_NegHours!$A$1</f>
        <v>year</v>
      </c>
    </row>
    <row r="13" spans="1:3" x14ac:dyDescent="0.35">
      <c r="A13" t="s">
        <v>15</v>
      </c>
      <c r="B13" s="7" t="s">
        <v>16</v>
      </c>
      <c r="C13" t="str">
        <f>Fig3_CumNeg!$A$1</f>
        <v>doy</v>
      </c>
    </row>
    <row r="14" spans="1:3" x14ac:dyDescent="0.35">
      <c r="A14" t="s">
        <v>17</v>
      </c>
      <c r="B14" s="7" t="s">
        <v>18</v>
      </c>
      <c r="C14" t="str">
        <f>Fig4_Duration!$A$1</f>
        <v>pct_of_hours</v>
      </c>
    </row>
    <row r="15" spans="1:3" x14ac:dyDescent="0.35">
      <c r="A15" t="s">
        <v>19</v>
      </c>
      <c r="B15" s="7" t="s">
        <v>20</v>
      </c>
      <c r="C15" t="str">
        <f>Fig5_Capture!$A$1</f>
        <v>technology</v>
      </c>
    </row>
    <row r="16" spans="1:3" x14ac:dyDescent="0.35">
      <c r="A16" t="s">
        <v>21</v>
      </c>
      <c r="B16" s="7" t="s">
        <v>22</v>
      </c>
      <c r="C16" t="str">
        <f>Fig6_MinMax!$A$1</f>
        <v>doy</v>
      </c>
    </row>
    <row r="17" spans="1:3" x14ac:dyDescent="0.35">
      <c r="A17" t="s">
        <v>23</v>
      </c>
      <c r="B17" s="7" t="s">
        <v>24</v>
      </c>
      <c r="C17" t="str">
        <f>Fig7_GenMix!$A$1</f>
        <v>hour_utc</v>
      </c>
    </row>
    <row r="18" spans="1:3" x14ac:dyDescent="0.35">
      <c r="A18" t="s">
        <v>25</v>
      </c>
      <c r="B18" s="7" t="s">
        <v>26</v>
      </c>
      <c r="C18" t="str">
        <f>Fig9_Capacity!$A$1</f>
        <v>technology</v>
      </c>
    </row>
    <row r="19" spans="1:3" x14ac:dyDescent="0.35">
      <c r="A19" t="s">
        <v>27</v>
      </c>
      <c r="B19" s="7" t="s">
        <v>28</v>
      </c>
      <c r="C19" t="str">
        <f>Fig2_Intraday_avg!$A$1</f>
        <v>hour_utc</v>
      </c>
    </row>
    <row r="20" spans="1:3" x14ac:dyDescent="0.35">
      <c r="A20" t="s">
        <v>29</v>
      </c>
      <c r="B20" s="7" t="s">
        <v>30</v>
      </c>
      <c r="C20" t="str">
        <f>Fig5_Capture_abs!$A$1</f>
        <v>technology</v>
      </c>
    </row>
    <row r="21" spans="1:3" x14ac:dyDescent="0.35">
      <c r="A21" t="s">
        <v>31</v>
      </c>
      <c r="B21" s="7" t="s">
        <v>32</v>
      </c>
      <c r="C21" t="str">
        <f>CaptureMonthly!$A$1</f>
        <v>month</v>
      </c>
    </row>
  </sheetData>
  <hyperlinks>
    <hyperlink ref="A6" r:id="rId13"/>
    <hyperlink ref="B10" r:id="rId1" xr:uid="{306068B8-DB29-4A50-AFB7-F53334B1524B}"/>
    <hyperlink ref="B11" r:id="rId2" xr:uid="{41E6C976-AB98-40DA-A3B2-7DB4A0468CAF}"/>
    <hyperlink ref="B12" r:id="rId3" xr:uid="{5DB83C7E-7CA1-4178-9212-F7DC125A57F5}"/>
    <hyperlink ref="B13" r:id="rId4" xr:uid="{12E2F3ED-4658-4B55-A8D3-8CCAB7682CC8}"/>
    <hyperlink ref="B14" r:id="rId5" xr:uid="{4D3BDD41-8FF5-49F3-A0D0-48018C9E0817}"/>
    <hyperlink ref="B15" r:id="rId6" xr:uid="{3784C6DF-894F-4286-A00F-BA83240CC802}"/>
    <hyperlink ref="B16" r:id="rId7" xr:uid="{1C3E734D-FF11-4D5F-B2CD-06824A6082FA}"/>
    <hyperlink ref="B17" r:id="rId8" xr:uid="{45583824-8C00-47B8-BBF1-A82C2ED352DF}"/>
    <hyperlink ref="B18" r:id="rId9" xr:uid="{2B375E4A-0C15-40D2-91C0-749A6074400E}"/>
    <hyperlink ref="B19" r:id="rId10" xr:uid="{175833E8-12E0-4B02-9D27-FBD4C0277A8E}"/>
    <hyperlink ref="B20" r:id="rId11" xr:uid="{3969AFA4-315D-4AE1-BC81-E6FDFAD1C3A0}"/>
    <hyperlink ref="B21" r:id="rId12" xr:uid="{E689E2EF-72A7-40F5-8153-055505269DC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abSelected="1"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60.69</v>
      </c>
      <c r="C9">
        <v>53.14</v>
      </c>
      <c r="D9">
        <v>53.01</v>
      </c>
      <c r="E9">
        <v>56.19</v>
      </c>
      <c r="F9">
        <v>36.56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1.0414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1.2546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1.2657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1.0829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0.9806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1.0213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1.2066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1.2164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0.978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0.9662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1.0225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1.1729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1.1822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0.9109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0.9616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1.0508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1.1895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1.199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0.9492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0.9744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1.1345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1.2777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1.2868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1.0757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1.0408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1.1786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1.3528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1.3531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1.2331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1.1057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1.1387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1.2362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1.198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1.2854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1.1098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0.9708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0.8956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0.8585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1.0748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1.0522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0.7688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0.5677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0.5804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0.7896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0.9402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0.6017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0.3859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0.4313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0.5684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0.8424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0.4629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0.3104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0.3527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0.4416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0.7497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0.3614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0.2746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0.3156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0.3287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0.7092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0.3654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0.2741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0.302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0.3067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0.7296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0.4868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0.2784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0.3017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0.3876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0.779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0.688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0.3183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0.3366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0.4936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0.878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0.965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0.4134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0.4257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0.6766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1.0146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1.2748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0.6259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0.6266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1.0323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1.1466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1.5419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1.119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1.0814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1.5301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1.2529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1.6528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1.685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1.6079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1.7536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1.2831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1.5156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1.9629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1.9026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1.6447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1.2141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1.3444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1.8425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1.8069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1.5575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1.1467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1.2129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1.5889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1.5809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1.4404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1.0679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1.1294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1.4449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1.454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1.2801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1.0456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1.0788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1.3406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1.3513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1.192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377</v>
      </c>
      <c r="C9">
        <v>684</v>
      </c>
      <c r="D9">
        <v>546</v>
      </c>
      <c r="E9">
        <v>487</v>
      </c>
      <c r="F9">
        <v>0</v>
      </c>
      <c r="G9">
        <v>437</v>
      </c>
      <c r="H9">
        <v>1119</v>
      </c>
      <c r="I9">
        <v>1057</v>
      </c>
      <c r="J9">
        <v>714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437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1119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1057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714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437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1119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1057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714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437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1119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1057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714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437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1119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1057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714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437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1119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1057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714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437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1119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1057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714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437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1119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1057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714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437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1119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1057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714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437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1119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1057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714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437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1119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1057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714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437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1119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1057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714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437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1119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1057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714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437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1119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1057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714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437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1119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1057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714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437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1119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1057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714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437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1119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1057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714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437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1119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1057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714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437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1119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1057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714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437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1119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1057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714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437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1119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1057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714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437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1119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1057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714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437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1119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1057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714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437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1119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1057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714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437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1119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1057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714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437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1119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1057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714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437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1119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1057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714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437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1119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1057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714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437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1119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1057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714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437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1119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1057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714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437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1119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1057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714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437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1119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1057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714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437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1119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1057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714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437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1119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1057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714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437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1119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1057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714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437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1119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1057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714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437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1119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1057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714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437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1119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1057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714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437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1119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1057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714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437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1119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1057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714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437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1119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1057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714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437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1119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1057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714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437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1119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1057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714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437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1119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1057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714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437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1119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1057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714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437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1119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1057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714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437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1119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1057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714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437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1119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1057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714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437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1119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1057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714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437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1119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1057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714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437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1119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1057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714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437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1119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1057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714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437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1119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1057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714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437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1119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1057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714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437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1119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1057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714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437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1119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1057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714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437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1119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1057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714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437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1119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1057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714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437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1119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1057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714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437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1119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1057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714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437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1119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1057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714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437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1119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1057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714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437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1119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1057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714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437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1119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1057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714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437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1119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1057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714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437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1119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1057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714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437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1119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1057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714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437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1119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1057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714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437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1119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1057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714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437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1119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1057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714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437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1119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1057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714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437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1119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1057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714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437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1119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1057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714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437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1119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1057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714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437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1119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1057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714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437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1119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1057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714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437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1119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1057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714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437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1119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1057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714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437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1119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1057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714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437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1119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1057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714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437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1119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1057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714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437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1119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1057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714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437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1119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1057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714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437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1119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1057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714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437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1119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1057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714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437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1119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1057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714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437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1119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1057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714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437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1119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1057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714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437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1119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1057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714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437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1119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1057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714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437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1119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1057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714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437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1119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1057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714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437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1119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1057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714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437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1119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1057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714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437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1119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1057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714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437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1119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1057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714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437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1119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1057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714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437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1119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1057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714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437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1119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1057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714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437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1119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1057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714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437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1119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1057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714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437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1119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1057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714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437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1119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1057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714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437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1119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1057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714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437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1119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1057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714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437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1119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1057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714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437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1119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1057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714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437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1119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1057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714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437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1119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1057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714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437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1119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1057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714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437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1119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1057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714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437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1119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1057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714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437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1119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1057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714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437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1119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1057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714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437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1119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1057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714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437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1119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1057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714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437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1119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1057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714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437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1119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1057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714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437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1119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1057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714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437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1119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1057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714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437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1119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1057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714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437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1119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1057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714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437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1119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1057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714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437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1119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1057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714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437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1119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1057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714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437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1119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1057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714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437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1119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1057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714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437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1119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1057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714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437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1119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1057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714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437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1119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1057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714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437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1119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1057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714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437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1119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1057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714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437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1119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1057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714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437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1119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1057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714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437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1119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1057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714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437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1119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1057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714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437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1119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1057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714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437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1119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1057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714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437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1119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1057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714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437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1119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1057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714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437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1119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1057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714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437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1119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1057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714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437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1119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1057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714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437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1119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1057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714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437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1119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1057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714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437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1119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1057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714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437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1119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1057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714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437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1119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1057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714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437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1119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1057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714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437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1119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1057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714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437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1119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1057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714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437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1119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1057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714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437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1119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1057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714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437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1119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1057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714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</row>
    <row r="367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437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1119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1057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714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313.36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284.51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242.38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178.8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177.17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182.84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206.79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204.13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170.85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170.43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168.82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197.83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188.03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164.86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163.98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161.03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190.5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179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158.88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158.38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155.31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187.12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172.61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154.07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153.04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150.42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181.5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168.46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149.22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148.1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145.92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179.04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164.46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142.4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140.88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142.34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176.07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160.66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136.52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135.67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139.1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174.11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157.79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133.29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132.05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135.98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172.57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154.87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129.06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128.35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133.68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170.33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152.59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126.66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125.75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130.98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168.9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150.77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124.11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123.54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128.62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167.13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148.48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121.89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121.34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126.94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165.51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146.8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119.83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119.24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125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164.36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144.97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118.21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117.24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123.1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162.51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143.5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115.7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115.12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121.57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161.55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141.96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113.96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113.06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120.19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160.01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140.25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111.44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110.93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118.54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159.11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138.87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109.05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108.51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117.06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157.92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137.88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107.16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106.64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115.45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156.91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136.81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104.78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104.58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114.21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155.52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135.67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103.25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103.09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112.84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154.58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134.79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101.89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101.57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111.5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153.69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133.32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100.13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100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110.02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152.83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131.89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98.67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98.51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108.64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151.91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130.74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97.51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97.32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107.41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151.16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129.72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95.71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95.36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105.8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150.34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128.51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94.29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94.18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104.55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149.8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127.42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93.33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93.14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103.08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149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126.45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91.57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91.48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101.7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148.07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125.65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89.64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89.43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100.43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147.39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124.79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88.02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87.74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99.04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146.42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123.4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86.17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86.17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98.03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145.66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122.11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84.59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84.55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96.69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145.1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121.18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82.93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82.93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95.18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144.56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120.06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81.33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81.43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93.87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143.57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119.05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80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80.03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92.64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142.9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118.1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78.1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78.41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91.17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142.15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116.92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76.68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76.88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89.84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141.56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115.98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74.95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75.31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88.44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140.86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115.04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73.25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73.56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86.82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140.2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114.13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70.3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70.48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85.48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139.91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113.28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67.74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67.71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84.03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139.33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112.15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65.47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65.47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82.55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138.68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111.2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63.52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63.41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81.02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137.82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110.3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61.41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61.12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79.27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136.9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109.34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59.02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58.3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77.3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136.21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108.73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55.52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54.99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75.16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135.54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107.7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53.53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52.72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73.53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135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106.76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50.36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49.25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71.08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134.45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105.55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47.1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45.69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68.5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133.78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104.72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43.48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42.45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66.38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133.06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103.92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40.28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38.86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64.59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132.48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102.67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37.64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36.08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62.48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131.53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101.9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35.26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35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60.09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130.68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101.26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34.94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32.77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56.65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130.1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100.57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32.75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30.52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53.73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130.1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99.94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30.86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28.71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51.05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129.87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99.12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28.76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26.06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48.49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129.15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98.2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26.39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23.88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45.49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128.52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97.24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24.25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22.13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43.43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127.88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96.37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22.72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20.08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40.29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127.16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95.28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20.24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17.95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37.36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126.4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94.49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18.12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15.43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35.01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125.66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93.31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15.73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13.25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33.02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124.98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92.21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13.66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11.54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31.07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124.07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90.94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11.59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10.05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29.07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123.36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89.55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10.09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8.53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26.97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122.69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88.33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8.5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7.05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25.47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121.94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86.87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7.02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5.71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23.66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121.24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85.26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5.57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4.84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120.48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83.86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4.42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3.9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119.84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81.97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3.78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3.62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18.53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118.82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80.28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3.33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17.17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117.72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77.73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2.56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2.36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15.31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116.77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74.86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2.03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14.15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115.77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72.08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1.4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1.66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12.85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114.86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69.07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0.98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1.29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11.3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113.48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66.71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0.76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1.01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112.26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63.98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0.84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8.57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110.45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58.7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0.57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6.89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109.31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53.96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0.13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0.34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5.26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107.75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47.84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0.01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0.22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4.11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106.27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43.32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0.13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2.93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105.1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35.77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0.02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1.89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103.81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28.06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0.98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101.9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19.62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0.33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100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13.31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-0.01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0.01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97.66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7.74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96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4.16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93.71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1.36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-0.07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-0.01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90.54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0.05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-0.02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-0.01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84.95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-0.42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78.37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-0.04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-0.6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67.73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-0.55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-0.81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-0.03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56.26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-1.73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-1.02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-0.81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42.04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-3.75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-1.94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-1.28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-1.41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32.59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-11.25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-7.45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15.08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-31.9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-3.93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-2.78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-28.35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7.19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-49.73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-48.46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-49.45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-50.39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-17.47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-11.08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-8.13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-19.06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-7.16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-2.68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-4.64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-20.56</v>
      </c>
      <c r="BE4">
        <v>-25.22</v>
      </c>
      <c r="BF4">
        <v>-7.88</v>
      </c>
      <c r="BG4">
        <v>-10.46</v>
      </c>
      <c r="BH4">
        <v>-5.43</v>
      </c>
      <c r="BU4">
        <v>15.71</v>
      </c>
      <c r="BV4">
        <v>-0.1</v>
      </c>
      <c r="BW4">
        <v>-6.15</v>
      </c>
      <c r="BX4">
        <v>-3.15</v>
      </c>
      <c r="BY4">
        <v>-4.39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50.33</v>
      </c>
      <c r="V5">
        <v>-47.09</v>
      </c>
      <c r="W5">
        <v>22.47</v>
      </c>
      <c r="X5">
        <v>27.55</v>
      </c>
      <c r="Y5">
        <v>41.91</v>
      </c>
      <c r="Z5">
        <v>58.93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44.05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49.83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22.34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31.83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17.38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26.26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29.36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11.81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0.87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-2.53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16.5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2.78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2.73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2.91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8.69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1.23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-3.69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0.85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15.91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38.22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-0.77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49.13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8.85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15.56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18.17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31.66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62.4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4.03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2.85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4.35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-49.73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-48.46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-49.45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-50.39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-17.47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-11.08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-8.13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-19.06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-7.16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-2.68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0.87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-2.53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16.5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2.78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2.73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31.83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17.38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26.26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29.36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11.81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50.33</v>
      </c>
      <c r="V17">
        <v>-47.09</v>
      </c>
      <c r="W17">
        <v>22.47</v>
      </c>
      <c r="X17">
        <v>27.55</v>
      </c>
      <c r="Y17">
        <v>41.91</v>
      </c>
      <c r="Z17">
        <v>58.93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44.05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49.83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22.34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2.91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8.69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1.23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-3.69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0.85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15.91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38.22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-0.77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49.13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8.85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16.91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38.36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10.05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1.18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9.04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-0.25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0.31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1.03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-0.26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0.04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3.1</v>
      </c>
      <c r="BW24">
        <v>27.81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4.17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17.69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0.22</v>
      </c>
      <c r="BG25">
        <v>-9.41</v>
      </c>
      <c r="BH25">
        <v>32.95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154.38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284.51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209.62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240.82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147.86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179.35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143.92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130.14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187.47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6.49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173.77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174.97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174.97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161.01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236.53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102.96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110.77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114.05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95.86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173.8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7915.9</v>
      </c>
      <c r="EN2">
        <v>3735.2</v>
      </c>
      <c r="EO2">
        <v>7242.7</v>
      </c>
      <c r="EP2">
        <v>290.3</v>
      </c>
      <c r="EQ2">
        <v>3860.7</v>
      </c>
      <c r="ER2">
        <v>750.7</v>
      </c>
      <c r="ES2">
        <v>25.1</v>
      </c>
      <c r="ET2">
        <v>1355.8</v>
      </c>
      <c r="EU2">
        <v>72.4</v>
      </c>
      <c r="EV2">
        <v>263</v>
      </c>
      <c r="EW2">
        <v>13364</v>
      </c>
      <c r="EX2">
        <v>3537.4</v>
      </c>
      <c r="EY2">
        <v>7.1</v>
      </c>
      <c r="EZ2">
        <v>0</v>
      </c>
      <c r="FA2">
        <v>77.6</v>
      </c>
      <c r="FB2">
        <v>213.8</v>
      </c>
      <c r="FC2">
        <v>-1135.4</v>
      </c>
      <c r="FD2">
        <v>718.4</v>
      </c>
      <c r="FE2">
        <v>103.5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5943.8</v>
      </c>
      <c r="RO2">
        <v>0</v>
      </c>
      <c r="RP2">
        <v>27.5</v>
      </c>
      <c r="RQ2">
        <v>5198.5</v>
      </c>
      <c r="RR2">
        <v>20.4</v>
      </c>
      <c r="RS2">
        <v>415.4</v>
      </c>
      <c r="RT2">
        <v>192.4</v>
      </c>
      <c r="RU2">
        <v>0</v>
      </c>
      <c r="RV2">
        <v>1126.8</v>
      </c>
      <c r="RW2">
        <v>2820.6</v>
      </c>
      <c r="RX2">
        <v>1339.2</v>
      </c>
      <c r="RY2">
        <v>7260.3</v>
      </c>
      <c r="RZ2">
        <v>0</v>
      </c>
      <c r="SA2">
        <v>291.5</v>
      </c>
      <c r="SB2">
        <v>0</v>
      </c>
      <c r="SC2">
        <v>66.6</v>
      </c>
      <c r="SD2">
        <v>8.8</v>
      </c>
      <c r="SE2">
        <v>-536.7</v>
      </c>
      <c r="SF2">
        <v>-296.9</v>
      </c>
      <c r="SG2">
        <v>72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</v>
      </c>
      <c r="AET2">
        <v>0</v>
      </c>
      <c r="AEU2">
        <v>295.8</v>
      </c>
      <c r="AEV2">
        <v>0</v>
      </c>
      <c r="AEW2">
        <v>0</v>
      </c>
      <c r="AEX2">
        <v>985.9</v>
      </c>
      <c r="AEY2">
        <v>411.9</v>
      </c>
      <c r="AEZ2">
        <v>950.4</v>
      </c>
      <c r="AFA2">
        <v>1635.9</v>
      </c>
      <c r="AFB2">
        <v>8.9</v>
      </c>
      <c r="AFC2">
        <v>8.3</v>
      </c>
      <c r="AFD2">
        <v>0</v>
      </c>
      <c r="AFE2">
        <v>0</v>
      </c>
      <c r="AFF2">
        <v>26.3</v>
      </c>
      <c r="AFG2">
        <v>-187.4</v>
      </c>
      <c r="AFH2">
        <v>584</v>
      </c>
      <c r="AFI2">
        <v>71.9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43547.7</v>
      </c>
      <c r="ARS2">
        <v>0</v>
      </c>
      <c r="ART2">
        <v>41</v>
      </c>
      <c r="ARU2">
        <v>1631.4</v>
      </c>
      <c r="ARV2">
        <v>49.8</v>
      </c>
      <c r="ARW2">
        <v>374.7</v>
      </c>
      <c r="ARX2">
        <v>385.9</v>
      </c>
      <c r="ARY2">
        <v>0</v>
      </c>
      <c r="ARZ2">
        <v>4458.5</v>
      </c>
      <c r="ASA2">
        <v>1486.4</v>
      </c>
      <c r="ASB2">
        <v>601.2</v>
      </c>
      <c r="ASC2">
        <v>5667.7</v>
      </c>
      <c r="ASD2">
        <v>795</v>
      </c>
      <c r="ASE2">
        <v>0</v>
      </c>
      <c r="ASF2">
        <v>0</v>
      </c>
      <c r="ASG2">
        <v>0</v>
      </c>
      <c r="ASH2">
        <v>15.6</v>
      </c>
      <c r="ASI2">
        <v>-778.2</v>
      </c>
      <c r="ASJ2">
        <v>-9246.5</v>
      </c>
      <c r="ASK2">
        <v>71.8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218</v>
      </c>
      <c r="BEW2">
        <v>10353.3</v>
      </c>
      <c r="BEX2">
        <v>54.5</v>
      </c>
      <c r="BEY2">
        <v>499.6</v>
      </c>
      <c r="BEZ2">
        <v>2</v>
      </c>
      <c r="BFA2">
        <v>488.9</v>
      </c>
      <c r="BFB2">
        <v>2413.5</v>
      </c>
      <c r="BFC2">
        <v>281.7</v>
      </c>
      <c r="BFD2">
        <v>64.2</v>
      </c>
      <c r="BFE2">
        <v>2807.4</v>
      </c>
      <c r="BFF2">
        <v>5.9</v>
      </c>
      <c r="BFG2">
        <v>0</v>
      </c>
      <c r="BFH2">
        <v>0</v>
      </c>
      <c r="BFI2">
        <v>0</v>
      </c>
      <c r="BFJ2">
        <v>1779.3</v>
      </c>
      <c r="BFK2">
        <v>-31</v>
      </c>
      <c r="BFL2">
        <v>4926</v>
      </c>
      <c r="BFM2">
        <v>128.6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7868</v>
      </c>
      <c r="EN3">
        <v>3695.3</v>
      </c>
      <c r="EO3">
        <v>7187.7</v>
      </c>
      <c r="EP3">
        <v>289.2</v>
      </c>
      <c r="EQ3">
        <v>3848.2</v>
      </c>
      <c r="ER3">
        <v>749.1</v>
      </c>
      <c r="ES3">
        <v>25.2</v>
      </c>
      <c r="ET3">
        <v>1351.9</v>
      </c>
      <c r="EU3">
        <v>72.3</v>
      </c>
      <c r="EV3">
        <v>245.6</v>
      </c>
      <c r="EW3">
        <v>13112.7</v>
      </c>
      <c r="EX3">
        <v>3505.3</v>
      </c>
      <c r="EY3">
        <v>7</v>
      </c>
      <c r="EZ3">
        <v>0</v>
      </c>
      <c r="FA3">
        <v>77.6</v>
      </c>
      <c r="FB3">
        <v>213.5</v>
      </c>
      <c r="FC3">
        <v>-1330.8</v>
      </c>
      <c r="FD3">
        <v>1043.2</v>
      </c>
      <c r="FE3">
        <v>101.5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5944.5</v>
      </c>
      <c r="RO3">
        <v>0</v>
      </c>
      <c r="RP3">
        <v>27.8</v>
      </c>
      <c r="RQ3">
        <v>5030.2</v>
      </c>
      <c r="RR3">
        <v>20.3</v>
      </c>
      <c r="RS3">
        <v>414.3</v>
      </c>
      <c r="RT3">
        <v>192.1</v>
      </c>
      <c r="RU3">
        <v>0</v>
      </c>
      <c r="RV3">
        <v>1113.3</v>
      </c>
      <c r="RW3">
        <v>2675.9</v>
      </c>
      <c r="RX3">
        <v>1187.3</v>
      </c>
      <c r="RY3">
        <v>6900.8</v>
      </c>
      <c r="RZ3">
        <v>0</v>
      </c>
      <c r="SA3">
        <v>270</v>
      </c>
      <c r="SB3">
        <v>0</v>
      </c>
      <c r="SC3">
        <v>66</v>
      </c>
      <c r="SD3">
        <v>8.8</v>
      </c>
      <c r="SE3">
        <v>-685.6</v>
      </c>
      <c r="SF3">
        <v>-211.6</v>
      </c>
      <c r="SG3">
        <v>69.2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791.1</v>
      </c>
      <c r="AET3">
        <v>0</v>
      </c>
      <c r="AEU3">
        <v>295.8</v>
      </c>
      <c r="AEV3">
        <v>0</v>
      </c>
      <c r="AEW3">
        <v>0</v>
      </c>
      <c r="AEX3">
        <v>894.4</v>
      </c>
      <c r="AEY3">
        <v>378.3</v>
      </c>
      <c r="AEZ3">
        <v>827.1</v>
      </c>
      <c r="AFA3">
        <v>1637.4</v>
      </c>
      <c r="AFB3">
        <v>8.8</v>
      </c>
      <c r="AFC3">
        <v>8.4</v>
      </c>
      <c r="AFD3">
        <v>0</v>
      </c>
      <c r="AFE3">
        <v>0</v>
      </c>
      <c r="AFF3">
        <v>26.2</v>
      </c>
      <c r="AFG3">
        <v>-261.6</v>
      </c>
      <c r="AFH3">
        <v>604.1</v>
      </c>
      <c r="AFI3">
        <v>69.1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43527.2</v>
      </c>
      <c r="ARS3">
        <v>0</v>
      </c>
      <c r="ART3">
        <v>40.8</v>
      </c>
      <c r="ARU3">
        <v>1534.6</v>
      </c>
      <c r="ARV3">
        <v>46.4</v>
      </c>
      <c r="ARW3">
        <v>375.3</v>
      </c>
      <c r="ARX3">
        <v>387.2</v>
      </c>
      <c r="ARY3">
        <v>0</v>
      </c>
      <c r="ARZ3">
        <v>4362.2</v>
      </c>
      <c r="ASA3">
        <v>1346.5</v>
      </c>
      <c r="ASB3">
        <v>404</v>
      </c>
      <c r="ASC3">
        <v>5440.6</v>
      </c>
      <c r="ASD3">
        <v>780</v>
      </c>
      <c r="ASE3">
        <v>0</v>
      </c>
      <c r="ASF3">
        <v>0</v>
      </c>
      <c r="ASG3">
        <v>0</v>
      </c>
      <c r="ASH3">
        <v>14.9</v>
      </c>
      <c r="ASI3">
        <v>-1194.8</v>
      </c>
      <c r="ASJ3">
        <v>-9580</v>
      </c>
      <c r="ASK3">
        <v>64.8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218</v>
      </c>
      <c r="BEW3">
        <v>10146.1</v>
      </c>
      <c r="BEX3">
        <v>54.4</v>
      </c>
      <c r="BEY3">
        <v>499.9</v>
      </c>
      <c r="BEZ3">
        <v>2</v>
      </c>
      <c r="BFA3">
        <v>489.1</v>
      </c>
      <c r="BFB3">
        <v>2369</v>
      </c>
      <c r="BFC3">
        <v>268.7</v>
      </c>
      <c r="BFD3">
        <v>70</v>
      </c>
      <c r="BFE3">
        <v>2787.2</v>
      </c>
      <c r="BFF3">
        <v>5.4</v>
      </c>
      <c r="BFG3">
        <v>0</v>
      </c>
      <c r="BFH3">
        <v>0</v>
      </c>
      <c r="BFI3">
        <v>0</v>
      </c>
      <c r="BFJ3">
        <v>1763.9</v>
      </c>
      <c r="BFK3">
        <v>-31</v>
      </c>
      <c r="BFL3">
        <v>4916</v>
      </c>
      <c r="BFM3">
        <v>126.8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7868.6</v>
      </c>
      <c r="EN4">
        <v>3699.6</v>
      </c>
      <c r="EO4">
        <v>7222</v>
      </c>
      <c r="EP4">
        <v>289.3</v>
      </c>
      <c r="EQ4">
        <v>3877.3</v>
      </c>
      <c r="ER4">
        <v>747.5</v>
      </c>
      <c r="ES4">
        <v>25.1</v>
      </c>
      <c r="ET4">
        <v>1348.5</v>
      </c>
      <c r="EU4">
        <v>75.7</v>
      </c>
      <c r="EV4">
        <v>252.8</v>
      </c>
      <c r="EW4">
        <v>12904.3</v>
      </c>
      <c r="EX4">
        <v>3491.9</v>
      </c>
      <c r="EY4">
        <v>8.2</v>
      </c>
      <c r="EZ4">
        <v>0</v>
      </c>
      <c r="FA4">
        <v>77.5</v>
      </c>
      <c r="FB4">
        <v>214</v>
      </c>
      <c r="FC4">
        <v>-1363.5</v>
      </c>
      <c r="FD4">
        <v>1587</v>
      </c>
      <c r="FE4">
        <v>101.6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5945.7</v>
      </c>
      <c r="RO4">
        <v>0</v>
      </c>
      <c r="RP4">
        <v>27.9</v>
      </c>
      <c r="RQ4">
        <v>5002.7</v>
      </c>
      <c r="RR4">
        <v>20.3</v>
      </c>
      <c r="RS4">
        <v>413.6</v>
      </c>
      <c r="RT4">
        <v>191.8</v>
      </c>
      <c r="RU4">
        <v>0</v>
      </c>
      <c r="RV4">
        <v>1105.7</v>
      </c>
      <c r="RW4">
        <v>2615.9</v>
      </c>
      <c r="RX4">
        <v>1131</v>
      </c>
      <c r="RY4">
        <v>6642</v>
      </c>
      <c r="RZ4">
        <v>0</v>
      </c>
      <c r="SA4">
        <v>240.8</v>
      </c>
      <c r="SB4">
        <v>0</v>
      </c>
      <c r="SC4">
        <v>65.5</v>
      </c>
      <c r="SD4">
        <v>8.7</v>
      </c>
      <c r="SE4">
        <v>-773.6</v>
      </c>
      <c r="SF4">
        <v>-92.5</v>
      </c>
      <c r="SG4">
        <v>67.3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790</v>
      </c>
      <c r="AET4">
        <v>0</v>
      </c>
      <c r="AEU4">
        <v>296.1</v>
      </c>
      <c r="AEV4">
        <v>0</v>
      </c>
      <c r="AEW4">
        <v>0</v>
      </c>
      <c r="AEX4">
        <v>850.6</v>
      </c>
      <c r="AEY4">
        <v>353.7</v>
      </c>
      <c r="AEZ4">
        <v>766.4</v>
      </c>
      <c r="AFA4">
        <v>1642.6</v>
      </c>
      <c r="AFB4">
        <v>8.9</v>
      </c>
      <c r="AFC4">
        <v>8.4</v>
      </c>
      <c r="AFD4">
        <v>0</v>
      </c>
      <c r="AFE4">
        <v>0</v>
      </c>
      <c r="AFF4">
        <v>25.8</v>
      </c>
      <c r="AFG4">
        <v>-309.9</v>
      </c>
      <c r="AFH4">
        <v>594.2</v>
      </c>
      <c r="AFI4">
        <v>67.1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43375.5</v>
      </c>
      <c r="ARS4">
        <v>0</v>
      </c>
      <c r="ART4">
        <v>41.5</v>
      </c>
      <c r="ARU4">
        <v>1509.5</v>
      </c>
      <c r="ARV4">
        <v>44.6</v>
      </c>
      <c r="ARW4">
        <v>376.3</v>
      </c>
      <c r="ARX4">
        <v>387.6</v>
      </c>
      <c r="ARY4">
        <v>0</v>
      </c>
      <c r="ARZ4">
        <v>4295.2</v>
      </c>
      <c r="ASA4">
        <v>1257.7</v>
      </c>
      <c r="ASB4">
        <v>325.3</v>
      </c>
      <c r="ASC4">
        <v>5243.6</v>
      </c>
      <c r="ASD4">
        <v>765.9</v>
      </c>
      <c r="ASE4">
        <v>0</v>
      </c>
      <c r="ASF4">
        <v>0</v>
      </c>
      <c r="ASG4">
        <v>0</v>
      </c>
      <c r="ASH4">
        <v>11.8</v>
      </c>
      <c r="ASI4">
        <v>-1491.2</v>
      </c>
      <c r="ASJ4">
        <v>-9779.6</v>
      </c>
      <c r="ASK4">
        <v>60.4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215.3</v>
      </c>
      <c r="BEW4">
        <v>10066.2</v>
      </c>
      <c r="BEX4">
        <v>53.3</v>
      </c>
      <c r="BEY4">
        <v>500.1</v>
      </c>
      <c r="BEZ4">
        <v>2</v>
      </c>
      <c r="BFA4">
        <v>488.9</v>
      </c>
      <c r="BFB4">
        <v>2362.2</v>
      </c>
      <c r="BFC4">
        <v>273.6</v>
      </c>
      <c r="BFD4">
        <v>75</v>
      </c>
      <c r="BFE4">
        <v>2785</v>
      </c>
      <c r="BFF4">
        <v>5.3</v>
      </c>
      <c r="BFG4">
        <v>0</v>
      </c>
      <c r="BFH4">
        <v>0</v>
      </c>
      <c r="BFI4">
        <v>0</v>
      </c>
      <c r="BFJ4">
        <v>1768.9</v>
      </c>
      <c r="BFK4">
        <v>-31.2</v>
      </c>
      <c r="BFL4">
        <v>4832.8</v>
      </c>
      <c r="BFM4">
        <v>126.2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7915</v>
      </c>
      <c r="EN5">
        <v>3741.7</v>
      </c>
      <c r="EO5">
        <v>7351.7</v>
      </c>
      <c r="EP5">
        <v>290.3</v>
      </c>
      <c r="EQ5">
        <v>3962.7</v>
      </c>
      <c r="ER5">
        <v>744.7</v>
      </c>
      <c r="ES5">
        <v>25</v>
      </c>
      <c r="ET5">
        <v>1351.4</v>
      </c>
      <c r="EU5">
        <v>85.8</v>
      </c>
      <c r="EV5">
        <v>390</v>
      </c>
      <c r="EW5">
        <v>12869.9</v>
      </c>
      <c r="EX5">
        <v>3519</v>
      </c>
      <c r="EY5">
        <v>179.3</v>
      </c>
      <c r="EZ5">
        <v>0</v>
      </c>
      <c r="FA5">
        <v>77.5</v>
      </c>
      <c r="FB5">
        <v>215.5</v>
      </c>
      <c r="FC5">
        <v>-1219.7</v>
      </c>
      <c r="FD5">
        <v>2406.2</v>
      </c>
      <c r="FE5">
        <v>104.4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5947.3</v>
      </c>
      <c r="RO5">
        <v>0</v>
      </c>
      <c r="RP5">
        <v>27.8</v>
      </c>
      <c r="RQ5">
        <v>5149.9</v>
      </c>
      <c r="RR5">
        <v>20</v>
      </c>
      <c r="RS5">
        <v>414</v>
      </c>
      <c r="RT5">
        <v>192</v>
      </c>
      <c r="RU5">
        <v>0</v>
      </c>
      <c r="RV5">
        <v>1105.2</v>
      </c>
      <c r="RW5">
        <v>2688</v>
      </c>
      <c r="RX5">
        <v>1174.4</v>
      </c>
      <c r="RY5">
        <v>6458.9</v>
      </c>
      <c r="RZ5">
        <v>0</v>
      </c>
      <c r="SA5">
        <v>201.7</v>
      </c>
      <c r="SB5">
        <v>0</v>
      </c>
      <c r="SC5">
        <v>65.3</v>
      </c>
      <c r="SD5">
        <v>8.8</v>
      </c>
      <c r="SE5">
        <v>-785.9</v>
      </c>
      <c r="SF5">
        <v>-25</v>
      </c>
      <c r="SG5">
        <v>68.2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789.8</v>
      </c>
      <c r="AET5">
        <v>0</v>
      </c>
      <c r="AEU5">
        <v>295.8</v>
      </c>
      <c r="AEV5">
        <v>0</v>
      </c>
      <c r="AEW5">
        <v>0</v>
      </c>
      <c r="AEX5">
        <v>868</v>
      </c>
      <c r="AEY5">
        <v>357.8</v>
      </c>
      <c r="AEZ5">
        <v>804.2</v>
      </c>
      <c r="AFA5">
        <v>1649</v>
      </c>
      <c r="AFB5">
        <v>8.6</v>
      </c>
      <c r="AFC5">
        <v>8.2</v>
      </c>
      <c r="AFD5">
        <v>0</v>
      </c>
      <c r="AFE5">
        <v>0</v>
      </c>
      <c r="AFF5">
        <v>25.3</v>
      </c>
      <c r="AFG5">
        <v>-320</v>
      </c>
      <c r="AFH5">
        <v>486.7</v>
      </c>
      <c r="AFI5">
        <v>68.1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43429.2</v>
      </c>
      <c r="ARS5">
        <v>0</v>
      </c>
      <c r="ART5">
        <v>40.2</v>
      </c>
      <c r="ARU5">
        <v>1521</v>
      </c>
      <c r="ARV5">
        <v>45.1</v>
      </c>
      <c r="ARW5">
        <v>376.2</v>
      </c>
      <c r="ARX5">
        <v>386.8</v>
      </c>
      <c r="ARY5">
        <v>0</v>
      </c>
      <c r="ARZ5">
        <v>4320.2</v>
      </c>
      <c r="ASA5">
        <v>1290.6</v>
      </c>
      <c r="ASB5">
        <v>374.9</v>
      </c>
      <c r="ASC5">
        <v>5154.6</v>
      </c>
      <c r="ASD5">
        <v>744.4</v>
      </c>
      <c r="ASE5">
        <v>29.1</v>
      </c>
      <c r="ASF5">
        <v>0</v>
      </c>
      <c r="ASG5">
        <v>0</v>
      </c>
      <c r="ASH5">
        <v>14.5</v>
      </c>
      <c r="ASI5">
        <v>-1382.6</v>
      </c>
      <c r="ASJ5">
        <v>-9744.1</v>
      </c>
      <c r="ASK5">
        <v>62.9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217.9</v>
      </c>
      <c r="BEW5">
        <v>10328</v>
      </c>
      <c r="BEX5">
        <v>53.4</v>
      </c>
      <c r="BEY5">
        <v>497.7</v>
      </c>
      <c r="BEZ5">
        <v>1.9</v>
      </c>
      <c r="BFA5">
        <v>488.7</v>
      </c>
      <c r="BFB5">
        <v>2415.7</v>
      </c>
      <c r="BFC5">
        <v>291.8</v>
      </c>
      <c r="BFD5">
        <v>87.4</v>
      </c>
      <c r="BFE5">
        <v>2771.4</v>
      </c>
      <c r="BFF5">
        <v>5.2</v>
      </c>
      <c r="BFG5">
        <v>10</v>
      </c>
      <c r="BFH5">
        <v>0</v>
      </c>
      <c r="BFI5">
        <v>0</v>
      </c>
      <c r="BFJ5">
        <v>1794.8</v>
      </c>
      <c r="BFK5">
        <v>-26.8</v>
      </c>
      <c r="BFL5">
        <v>4730.8</v>
      </c>
      <c r="BFM5">
        <v>127.8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7963.6</v>
      </c>
      <c r="EN6">
        <v>3809.5</v>
      </c>
      <c r="EO6">
        <v>7584</v>
      </c>
      <c r="EP6">
        <v>293</v>
      </c>
      <c r="EQ6">
        <v>4124.9</v>
      </c>
      <c r="ER6">
        <v>742</v>
      </c>
      <c r="ES6">
        <v>24.8</v>
      </c>
      <c r="ET6">
        <v>1368.8</v>
      </c>
      <c r="EU6">
        <v>131.1</v>
      </c>
      <c r="EV6">
        <v>1120</v>
      </c>
      <c r="EW6">
        <v>12772.8</v>
      </c>
      <c r="EX6">
        <v>3473.6</v>
      </c>
      <c r="EY6">
        <v>1542</v>
      </c>
      <c r="EZ6">
        <v>0</v>
      </c>
      <c r="FA6">
        <v>77.4</v>
      </c>
      <c r="FB6">
        <v>218.3</v>
      </c>
      <c r="FC6">
        <v>-908.6</v>
      </c>
      <c r="FD6">
        <v>3283.5</v>
      </c>
      <c r="FE6">
        <v>112.7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5949.5</v>
      </c>
      <c r="RO6">
        <v>0</v>
      </c>
      <c r="RP6">
        <v>27.4</v>
      </c>
      <c r="RQ6">
        <v>5636.3</v>
      </c>
      <c r="RR6">
        <v>20</v>
      </c>
      <c r="RS6">
        <v>415.2</v>
      </c>
      <c r="RT6">
        <v>191.9</v>
      </c>
      <c r="RU6">
        <v>0</v>
      </c>
      <c r="RV6">
        <v>1115.9</v>
      </c>
      <c r="RW6">
        <v>3007.1</v>
      </c>
      <c r="RX6">
        <v>1382</v>
      </c>
      <c r="RY6">
        <v>6357.3</v>
      </c>
      <c r="RZ6">
        <v>0</v>
      </c>
      <c r="SA6">
        <v>162.6</v>
      </c>
      <c r="SB6">
        <v>0</v>
      </c>
      <c r="SC6">
        <v>65.2</v>
      </c>
      <c r="SD6">
        <v>8.6</v>
      </c>
      <c r="SE6">
        <v>-701.8</v>
      </c>
      <c r="SF6">
        <v>215.7</v>
      </c>
      <c r="SG6">
        <v>73.3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800.2</v>
      </c>
      <c r="AET6">
        <v>0</v>
      </c>
      <c r="AEU6">
        <v>294.7</v>
      </c>
      <c r="AEV6">
        <v>0</v>
      </c>
      <c r="AEW6">
        <v>0</v>
      </c>
      <c r="AEX6">
        <v>1009.6</v>
      </c>
      <c r="AEY6">
        <v>404.6</v>
      </c>
      <c r="AEZ6">
        <v>1040</v>
      </c>
      <c r="AFA6">
        <v>1652.5</v>
      </c>
      <c r="AFB6">
        <v>8.4</v>
      </c>
      <c r="AFC6">
        <v>7.8</v>
      </c>
      <c r="AFD6">
        <v>0</v>
      </c>
      <c r="AFE6">
        <v>0</v>
      </c>
      <c r="AFF6">
        <v>25</v>
      </c>
      <c r="AFG6">
        <v>-277.3</v>
      </c>
      <c r="AFH6">
        <v>92.9</v>
      </c>
      <c r="AFI6">
        <v>73.1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43689.9</v>
      </c>
      <c r="ARS6">
        <v>0</v>
      </c>
      <c r="ART6">
        <v>41.5</v>
      </c>
      <c r="ARU6">
        <v>1612.2</v>
      </c>
      <c r="ARV6">
        <v>47.3</v>
      </c>
      <c r="ARW6">
        <v>376.9</v>
      </c>
      <c r="ARX6">
        <v>385.2</v>
      </c>
      <c r="ARY6">
        <v>0</v>
      </c>
      <c r="ARZ6">
        <v>4464.1</v>
      </c>
      <c r="ASA6">
        <v>1473.4</v>
      </c>
      <c r="ASB6">
        <v>691.3</v>
      </c>
      <c r="ASC6">
        <v>5121.4</v>
      </c>
      <c r="ASD6">
        <v>735.7</v>
      </c>
      <c r="ASE6">
        <v>222.7</v>
      </c>
      <c r="ASF6">
        <v>0</v>
      </c>
      <c r="ASG6">
        <v>0</v>
      </c>
      <c r="ASH6">
        <v>22.6</v>
      </c>
      <c r="ASI6">
        <v>-990</v>
      </c>
      <c r="ASJ6">
        <v>-9456.9</v>
      </c>
      <c r="ASK6">
        <v>71.3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224.3</v>
      </c>
      <c r="BEW6">
        <v>11217.8</v>
      </c>
      <c r="BEX6">
        <v>53.9</v>
      </c>
      <c r="BEY6">
        <v>496.6</v>
      </c>
      <c r="BEZ6">
        <v>2</v>
      </c>
      <c r="BFA6">
        <v>488</v>
      </c>
      <c r="BFB6">
        <v>2625.7</v>
      </c>
      <c r="BFC6">
        <v>374</v>
      </c>
      <c r="BFD6">
        <v>194.8</v>
      </c>
      <c r="BFE6">
        <v>2730.2</v>
      </c>
      <c r="BFF6">
        <v>5.1</v>
      </c>
      <c r="BFG6">
        <v>390.8</v>
      </c>
      <c r="BFH6">
        <v>0</v>
      </c>
      <c r="BFI6">
        <v>0</v>
      </c>
      <c r="BFJ6">
        <v>1974</v>
      </c>
      <c r="BFK6">
        <v>-10</v>
      </c>
      <c r="BFL6">
        <v>4587.3</v>
      </c>
      <c r="BFM6">
        <v>136.5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7954</v>
      </c>
      <c r="EN7">
        <v>3849</v>
      </c>
      <c r="EO7">
        <v>7816.4</v>
      </c>
      <c r="EP7">
        <v>300.5</v>
      </c>
      <c r="EQ7">
        <v>4270.4</v>
      </c>
      <c r="ER7">
        <v>739.5</v>
      </c>
      <c r="ES7">
        <v>24.7</v>
      </c>
      <c r="ET7">
        <v>1394.7</v>
      </c>
      <c r="EU7">
        <v>168.6</v>
      </c>
      <c r="EV7">
        <v>1644.8</v>
      </c>
      <c r="EW7">
        <v>12362.6</v>
      </c>
      <c r="EX7">
        <v>3389.2</v>
      </c>
      <c r="EY7">
        <v>5041.4</v>
      </c>
      <c r="EZ7">
        <v>0</v>
      </c>
      <c r="FA7">
        <v>76.9</v>
      </c>
      <c r="FB7">
        <v>219</v>
      </c>
      <c r="FC7">
        <v>-574.5</v>
      </c>
      <c r="FD7">
        <v>3280.8</v>
      </c>
      <c r="FE7">
        <v>117.1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5949.8</v>
      </c>
      <c r="RO7">
        <v>0</v>
      </c>
      <c r="RP7">
        <v>27.8</v>
      </c>
      <c r="RQ7">
        <v>6024.4</v>
      </c>
      <c r="RR7">
        <v>20</v>
      </c>
      <c r="RS7">
        <v>415.6</v>
      </c>
      <c r="RT7">
        <v>191.6</v>
      </c>
      <c r="RU7">
        <v>0</v>
      </c>
      <c r="RV7">
        <v>1138.3</v>
      </c>
      <c r="RW7">
        <v>3340.5</v>
      </c>
      <c r="RX7">
        <v>1559.3</v>
      </c>
      <c r="RY7">
        <v>6335.2</v>
      </c>
      <c r="RZ7">
        <v>0</v>
      </c>
      <c r="SA7">
        <v>974.2</v>
      </c>
      <c r="SB7">
        <v>0</v>
      </c>
      <c r="SC7">
        <v>64.6</v>
      </c>
      <c r="SD7">
        <v>8.6</v>
      </c>
      <c r="SE7">
        <v>-513.9</v>
      </c>
      <c r="SF7">
        <v>516.4</v>
      </c>
      <c r="SG7">
        <v>77.6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804.9</v>
      </c>
      <c r="AET7">
        <v>0</v>
      </c>
      <c r="AEU7">
        <v>293.2</v>
      </c>
      <c r="AEV7">
        <v>0</v>
      </c>
      <c r="AEW7">
        <v>0</v>
      </c>
      <c r="AEX7">
        <v>1104.9</v>
      </c>
      <c r="AEY7">
        <v>469.7</v>
      </c>
      <c r="AEZ7">
        <v>1243.2</v>
      </c>
      <c r="AFA7">
        <v>1656.6</v>
      </c>
      <c r="AFB7">
        <v>8.2</v>
      </c>
      <c r="AFC7">
        <v>29.6</v>
      </c>
      <c r="AFD7">
        <v>0</v>
      </c>
      <c r="AFE7">
        <v>0</v>
      </c>
      <c r="AFF7">
        <v>24.9</v>
      </c>
      <c r="AFG7">
        <v>-207.4</v>
      </c>
      <c r="AFH7">
        <v>-332.5</v>
      </c>
      <c r="AFI7">
        <v>76.8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43890.3</v>
      </c>
      <c r="ARS7">
        <v>0</v>
      </c>
      <c r="ART7">
        <v>45.1</v>
      </c>
      <c r="ARU7">
        <v>1762.4</v>
      </c>
      <c r="ARV7">
        <v>50</v>
      </c>
      <c r="ARW7">
        <v>377.4</v>
      </c>
      <c r="ARX7">
        <v>383.8</v>
      </c>
      <c r="ARY7">
        <v>0</v>
      </c>
      <c r="ARZ7">
        <v>4648.3</v>
      </c>
      <c r="ASA7">
        <v>1727.3</v>
      </c>
      <c r="ASB7">
        <v>1205.1</v>
      </c>
      <c r="ASC7">
        <v>5055.4</v>
      </c>
      <c r="ASD7">
        <v>722.9</v>
      </c>
      <c r="ASE7">
        <v>869.3</v>
      </c>
      <c r="ASF7">
        <v>0</v>
      </c>
      <c r="ASG7">
        <v>0</v>
      </c>
      <c r="ASH7">
        <v>46.5</v>
      </c>
      <c r="ASI7">
        <v>-598.8</v>
      </c>
      <c r="ASJ7">
        <v>-9022.6</v>
      </c>
      <c r="ASK7">
        <v>81.7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229.8</v>
      </c>
      <c r="BEW7">
        <v>12451.4</v>
      </c>
      <c r="BEX7">
        <v>53.8</v>
      </c>
      <c r="BEY7">
        <v>493.4</v>
      </c>
      <c r="BEZ7">
        <v>2</v>
      </c>
      <c r="BFA7">
        <v>486.3</v>
      </c>
      <c r="BFB7">
        <v>2812.4</v>
      </c>
      <c r="BFC7">
        <v>471.8</v>
      </c>
      <c r="BFD7">
        <v>316</v>
      </c>
      <c r="BFE7">
        <v>2628.2</v>
      </c>
      <c r="BFF7">
        <v>5.2</v>
      </c>
      <c r="BFG7">
        <v>1944.7</v>
      </c>
      <c r="BFH7">
        <v>0</v>
      </c>
      <c r="BFI7">
        <v>0</v>
      </c>
      <c r="BFJ7">
        <v>2284.7</v>
      </c>
      <c r="BFK7">
        <v>-4.6</v>
      </c>
      <c r="BFL7">
        <v>4432</v>
      </c>
      <c r="BFM7">
        <v>145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7685.3</v>
      </c>
      <c r="EN8">
        <v>3770</v>
      </c>
      <c r="EO8">
        <v>7733.8</v>
      </c>
      <c r="EP8">
        <v>309.6</v>
      </c>
      <c r="EQ8">
        <v>4307.7</v>
      </c>
      <c r="ER8">
        <v>742.1</v>
      </c>
      <c r="ES8">
        <v>24.5</v>
      </c>
      <c r="ET8">
        <v>1428.9</v>
      </c>
      <c r="EU8">
        <v>159.8</v>
      </c>
      <c r="EV8">
        <v>1539.9</v>
      </c>
      <c r="EW8">
        <v>11500.5</v>
      </c>
      <c r="EX8">
        <v>3310.6</v>
      </c>
      <c r="EY8">
        <v>10987</v>
      </c>
      <c r="EZ8">
        <v>0</v>
      </c>
      <c r="FA8">
        <v>76.2</v>
      </c>
      <c r="FB8">
        <v>216.2</v>
      </c>
      <c r="FC8">
        <v>-615</v>
      </c>
      <c r="FD8">
        <v>2161</v>
      </c>
      <c r="FE8">
        <v>113.1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5949.6</v>
      </c>
      <c r="RO8">
        <v>0</v>
      </c>
      <c r="RP8">
        <v>28.1</v>
      </c>
      <c r="RQ8">
        <v>5622.7</v>
      </c>
      <c r="RR8">
        <v>19.8</v>
      </c>
      <c r="RS8">
        <v>415.9</v>
      </c>
      <c r="RT8">
        <v>190.2</v>
      </c>
      <c r="RU8">
        <v>0</v>
      </c>
      <c r="RV8">
        <v>1139.8</v>
      </c>
      <c r="RW8">
        <v>3118.1</v>
      </c>
      <c r="RX8">
        <v>1313.2</v>
      </c>
      <c r="RY8">
        <v>6140.1</v>
      </c>
      <c r="RZ8">
        <v>0</v>
      </c>
      <c r="SA8">
        <v>5022.7</v>
      </c>
      <c r="SB8">
        <v>0</v>
      </c>
      <c r="SC8">
        <v>63.8</v>
      </c>
      <c r="SD8">
        <v>9</v>
      </c>
      <c r="SE8">
        <v>-554</v>
      </c>
      <c r="SF8">
        <v>39</v>
      </c>
      <c r="SG8">
        <v>70.9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803.1</v>
      </c>
      <c r="AET8">
        <v>0</v>
      </c>
      <c r="AEU8">
        <v>292.4</v>
      </c>
      <c r="AEV8">
        <v>0</v>
      </c>
      <c r="AEW8">
        <v>0</v>
      </c>
      <c r="AEX8">
        <v>1044</v>
      </c>
      <c r="AEY8">
        <v>459.9</v>
      </c>
      <c r="AEZ8">
        <v>1051.3</v>
      </c>
      <c r="AFA8">
        <v>1629.3</v>
      </c>
      <c r="AFB8">
        <v>8</v>
      </c>
      <c r="AFC8">
        <v>242.8</v>
      </c>
      <c r="AFD8">
        <v>0</v>
      </c>
      <c r="AFE8">
        <v>0</v>
      </c>
      <c r="AFF8">
        <v>24.9</v>
      </c>
      <c r="AFG8">
        <v>-327.4</v>
      </c>
      <c r="AFH8">
        <v>19.6</v>
      </c>
      <c r="AFI8">
        <v>68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43744.2</v>
      </c>
      <c r="ARS8">
        <v>0</v>
      </c>
      <c r="ART8">
        <v>49.6</v>
      </c>
      <c r="ARU8">
        <v>1898.6</v>
      </c>
      <c r="ARV8">
        <v>57.9</v>
      </c>
      <c r="ARW8">
        <v>377.2</v>
      </c>
      <c r="ARX8">
        <v>382.6</v>
      </c>
      <c r="ARY8">
        <v>0</v>
      </c>
      <c r="ARZ8">
        <v>4728.5</v>
      </c>
      <c r="ASA8">
        <v>1843.4</v>
      </c>
      <c r="ASB8">
        <v>1472</v>
      </c>
      <c r="ASC8">
        <v>4774.8</v>
      </c>
      <c r="ASD8">
        <v>715.7</v>
      </c>
      <c r="ASE8">
        <v>2668.5</v>
      </c>
      <c r="ASF8">
        <v>0</v>
      </c>
      <c r="ASG8">
        <v>0</v>
      </c>
      <c r="ASH8">
        <v>46.3</v>
      </c>
      <c r="ASI8">
        <v>-492.3</v>
      </c>
      <c r="ASJ8">
        <v>-8431.7</v>
      </c>
      <c r="ASK8">
        <v>85.2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231.4</v>
      </c>
      <c r="BEW8">
        <v>12765.3</v>
      </c>
      <c r="BEX8">
        <v>55.3</v>
      </c>
      <c r="BEY8">
        <v>489.3</v>
      </c>
      <c r="BEZ8">
        <v>1.9</v>
      </c>
      <c r="BFA8">
        <v>484.7</v>
      </c>
      <c r="BFB8">
        <v>2843.5</v>
      </c>
      <c r="BFC8">
        <v>489.8</v>
      </c>
      <c r="BFD8">
        <v>347.9</v>
      </c>
      <c r="BFE8">
        <v>2536.2</v>
      </c>
      <c r="BFF8">
        <v>5.2</v>
      </c>
      <c r="BFG8">
        <v>4737.4</v>
      </c>
      <c r="BFH8">
        <v>0</v>
      </c>
      <c r="BFI8">
        <v>0</v>
      </c>
      <c r="BFJ8">
        <v>2356.9</v>
      </c>
      <c r="BFK8">
        <v>0</v>
      </c>
      <c r="BFL8">
        <v>4401.3</v>
      </c>
      <c r="BFM8">
        <v>145.6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7177.6</v>
      </c>
      <c r="EN9">
        <v>3519.4</v>
      </c>
      <c r="EO9">
        <v>7244.8</v>
      </c>
      <c r="EP9">
        <v>317.7</v>
      </c>
      <c r="EQ9">
        <v>4219.2</v>
      </c>
      <c r="ER9">
        <v>740.2</v>
      </c>
      <c r="ES9">
        <v>24.2</v>
      </c>
      <c r="ET9">
        <v>1431.6</v>
      </c>
      <c r="EU9">
        <v>132.3</v>
      </c>
      <c r="EV9">
        <v>1093.1</v>
      </c>
      <c r="EW9">
        <v>10929.2</v>
      </c>
      <c r="EX9">
        <v>3211.3</v>
      </c>
      <c r="EY9">
        <v>18110.4</v>
      </c>
      <c r="EZ9">
        <v>0</v>
      </c>
      <c r="FA9">
        <v>76.2</v>
      </c>
      <c r="FB9">
        <v>212</v>
      </c>
      <c r="FC9">
        <v>-1232.2</v>
      </c>
      <c r="FD9">
        <v>219.6</v>
      </c>
      <c r="FE9">
        <v>96.5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5937.5</v>
      </c>
      <c r="RO9">
        <v>0</v>
      </c>
      <c r="RP9">
        <v>27.1</v>
      </c>
      <c r="RQ9">
        <v>5014.6</v>
      </c>
      <c r="RR9">
        <v>18.6</v>
      </c>
      <c r="RS9">
        <v>406.8</v>
      </c>
      <c r="RT9">
        <v>188</v>
      </c>
      <c r="RU9">
        <v>0</v>
      </c>
      <c r="RV9">
        <v>1094.3</v>
      </c>
      <c r="RW9">
        <v>2516.1</v>
      </c>
      <c r="RX9">
        <v>859.3</v>
      </c>
      <c r="RY9">
        <v>5577.8</v>
      </c>
      <c r="RZ9">
        <v>0</v>
      </c>
      <c r="SA9">
        <v>10358.9</v>
      </c>
      <c r="SB9">
        <v>0</v>
      </c>
      <c r="SC9">
        <v>62</v>
      </c>
      <c r="SD9">
        <v>10.1</v>
      </c>
      <c r="SE9">
        <v>-1122.6</v>
      </c>
      <c r="SF9">
        <v>-1287.1</v>
      </c>
      <c r="SG9">
        <v>51.4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812.2</v>
      </c>
      <c r="AET9">
        <v>0</v>
      </c>
      <c r="AEU9">
        <v>292</v>
      </c>
      <c r="AEV9">
        <v>0</v>
      </c>
      <c r="AEW9">
        <v>0</v>
      </c>
      <c r="AEX9">
        <v>939.8</v>
      </c>
      <c r="AEY9">
        <v>392</v>
      </c>
      <c r="AEZ9">
        <v>722.1</v>
      </c>
      <c r="AFA9">
        <v>1554.7</v>
      </c>
      <c r="AFB9">
        <v>7.8</v>
      </c>
      <c r="AFC9">
        <v>710.4</v>
      </c>
      <c r="AFD9">
        <v>0</v>
      </c>
      <c r="AFE9">
        <v>0</v>
      </c>
      <c r="AFF9">
        <v>25.2</v>
      </c>
      <c r="AFG9">
        <v>-681.8</v>
      </c>
      <c r="AFH9">
        <v>1057.3</v>
      </c>
      <c r="AFI9">
        <v>48.8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43276.4</v>
      </c>
      <c r="ARS9">
        <v>0</v>
      </c>
      <c r="ART9">
        <v>52.4</v>
      </c>
      <c r="ARU9">
        <v>1858.4</v>
      </c>
      <c r="ARV9">
        <v>78.8</v>
      </c>
      <c r="ARW9">
        <v>376.8</v>
      </c>
      <c r="ARX9">
        <v>382</v>
      </c>
      <c r="ARY9">
        <v>0</v>
      </c>
      <c r="ARZ9">
        <v>4642.8</v>
      </c>
      <c r="ASA9">
        <v>1719</v>
      </c>
      <c r="ASB9">
        <v>1260.8</v>
      </c>
      <c r="ASC9">
        <v>4493.8</v>
      </c>
      <c r="ASD9">
        <v>688.7</v>
      </c>
      <c r="ASE9">
        <v>5453.5</v>
      </c>
      <c r="ASF9">
        <v>0</v>
      </c>
      <c r="ASG9">
        <v>0</v>
      </c>
      <c r="ASH9">
        <v>28.6</v>
      </c>
      <c r="ASI9">
        <v>-721.3</v>
      </c>
      <c r="ASJ9">
        <v>-7745.9</v>
      </c>
      <c r="ASK9">
        <v>71.2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229.5</v>
      </c>
      <c r="BEW9">
        <v>11984.7</v>
      </c>
      <c r="BEX9">
        <v>56.2</v>
      </c>
      <c r="BEY9">
        <v>487</v>
      </c>
      <c r="BEZ9">
        <v>1.6</v>
      </c>
      <c r="BFA9">
        <v>483.4</v>
      </c>
      <c r="BFB9">
        <v>2741.4</v>
      </c>
      <c r="BFC9">
        <v>437.6</v>
      </c>
      <c r="BFD9">
        <v>229.8</v>
      </c>
      <c r="BFE9">
        <v>2510.5</v>
      </c>
      <c r="BFF9">
        <v>5.9</v>
      </c>
      <c r="BFG9">
        <v>7902.7</v>
      </c>
      <c r="BFH9">
        <v>0</v>
      </c>
      <c r="BFI9">
        <v>0</v>
      </c>
      <c r="BFJ9">
        <v>2232.4</v>
      </c>
      <c r="BFK9">
        <v>-56.3</v>
      </c>
      <c r="BFL9">
        <v>4274.1</v>
      </c>
      <c r="BFM9">
        <v>138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6599.1</v>
      </c>
      <c r="EN10">
        <v>3200.3</v>
      </c>
      <c r="EO10">
        <v>6631.2</v>
      </c>
      <c r="EP10">
        <v>315.2</v>
      </c>
      <c r="EQ10">
        <v>4036.4</v>
      </c>
      <c r="ER10">
        <v>730.9</v>
      </c>
      <c r="ES10">
        <v>23.8</v>
      </c>
      <c r="ET10">
        <v>1407.6</v>
      </c>
      <c r="EU10">
        <v>111.6</v>
      </c>
      <c r="EV10">
        <v>662.7</v>
      </c>
      <c r="EW10">
        <v>10434.4</v>
      </c>
      <c r="EX10">
        <v>3087.5</v>
      </c>
      <c r="EY10">
        <v>24465.3</v>
      </c>
      <c r="EZ10">
        <v>0</v>
      </c>
      <c r="FA10">
        <v>76.2</v>
      </c>
      <c r="FB10">
        <v>206.4</v>
      </c>
      <c r="FC10">
        <v>-2333.4</v>
      </c>
      <c r="FD10">
        <v>-1476.7</v>
      </c>
      <c r="FE10">
        <v>76.4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5941</v>
      </c>
      <c r="RO10">
        <v>0</v>
      </c>
      <c r="RP10">
        <v>27.6</v>
      </c>
      <c r="RQ10">
        <v>4504.5</v>
      </c>
      <c r="RR10">
        <v>18</v>
      </c>
      <c r="RS10">
        <v>395.4</v>
      </c>
      <c r="RT10">
        <v>186.5</v>
      </c>
      <c r="RU10">
        <v>0</v>
      </c>
      <c r="RV10">
        <v>1040.6</v>
      </c>
      <c r="RW10">
        <v>2024.7</v>
      </c>
      <c r="RX10">
        <v>509.3</v>
      </c>
      <c r="RY10">
        <v>4956.6</v>
      </c>
      <c r="RZ10">
        <v>0</v>
      </c>
      <c r="SA10">
        <v>14365.2</v>
      </c>
      <c r="SB10">
        <v>0</v>
      </c>
      <c r="SC10">
        <v>61.4</v>
      </c>
      <c r="SD10">
        <v>10.5</v>
      </c>
      <c r="SE10">
        <v>-1943.2</v>
      </c>
      <c r="SF10">
        <v>-2193</v>
      </c>
      <c r="SG10">
        <v>32.6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827.4</v>
      </c>
      <c r="AET10">
        <v>0</v>
      </c>
      <c r="AEU10">
        <v>290.4</v>
      </c>
      <c r="AEV10">
        <v>0</v>
      </c>
      <c r="AEW10">
        <v>0</v>
      </c>
      <c r="AEX10">
        <v>828.6</v>
      </c>
      <c r="AEY10">
        <v>337.3</v>
      </c>
      <c r="AEZ10">
        <v>514.2</v>
      </c>
      <c r="AFA10">
        <v>1466.8</v>
      </c>
      <c r="AFB10">
        <v>7.9</v>
      </c>
      <c r="AFC10">
        <v>1246</v>
      </c>
      <c r="AFD10">
        <v>0</v>
      </c>
      <c r="AFE10">
        <v>0</v>
      </c>
      <c r="AFF10">
        <v>25.2</v>
      </c>
      <c r="AFG10">
        <v>-1082.6</v>
      </c>
      <c r="AFH10">
        <v>1889.9</v>
      </c>
      <c r="AFI10">
        <v>33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42485.4</v>
      </c>
      <c r="ARS10">
        <v>0</v>
      </c>
      <c r="ART10">
        <v>52.9</v>
      </c>
      <c r="ARU10">
        <v>1711.4</v>
      </c>
      <c r="ARV10">
        <v>79.8</v>
      </c>
      <c r="ARW10">
        <v>375.6</v>
      </c>
      <c r="ARX10">
        <v>381.2</v>
      </c>
      <c r="ARY10">
        <v>0</v>
      </c>
      <c r="ARZ10">
        <v>4446.2</v>
      </c>
      <c r="ASA10">
        <v>1512.3</v>
      </c>
      <c r="ASB10">
        <v>860.8</v>
      </c>
      <c r="ASC10">
        <v>4280.7</v>
      </c>
      <c r="ASD10">
        <v>651.2</v>
      </c>
      <c r="ASE10">
        <v>8323.1</v>
      </c>
      <c r="ASF10">
        <v>0</v>
      </c>
      <c r="ASG10">
        <v>0</v>
      </c>
      <c r="ASH10">
        <v>20.9</v>
      </c>
      <c r="ASI10">
        <v>-1149.7</v>
      </c>
      <c r="ASJ10">
        <v>-7176.1</v>
      </c>
      <c r="ASK10">
        <v>52.3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224.7</v>
      </c>
      <c r="BEW10">
        <v>10803.2</v>
      </c>
      <c r="BEX10">
        <v>55.6</v>
      </c>
      <c r="BEY10">
        <v>485.1</v>
      </c>
      <c r="BEZ10">
        <v>1.8</v>
      </c>
      <c r="BFA10">
        <v>482</v>
      </c>
      <c r="BFB10">
        <v>2547.7</v>
      </c>
      <c r="BFC10">
        <v>344.2</v>
      </c>
      <c r="BFD10">
        <v>121.7</v>
      </c>
      <c r="BFE10">
        <v>2498.4</v>
      </c>
      <c r="BFF10">
        <v>6.2</v>
      </c>
      <c r="BFG10">
        <v>10733.1</v>
      </c>
      <c r="BFH10">
        <v>0</v>
      </c>
      <c r="BFI10">
        <v>0</v>
      </c>
      <c r="BFJ10">
        <v>1995.5</v>
      </c>
      <c r="BFK10">
        <v>-180.8</v>
      </c>
      <c r="BFL10">
        <v>4064</v>
      </c>
      <c r="BFM10">
        <v>123.3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6141.7</v>
      </c>
      <c r="EN11">
        <v>2910</v>
      </c>
      <c r="EO11">
        <v>6199.6</v>
      </c>
      <c r="EP11">
        <v>312.2</v>
      </c>
      <c r="EQ11">
        <v>3903</v>
      </c>
      <c r="ER11">
        <v>731.3</v>
      </c>
      <c r="ES11">
        <v>23.5</v>
      </c>
      <c r="ET11">
        <v>1400.5</v>
      </c>
      <c r="EU11">
        <v>99.3</v>
      </c>
      <c r="EV11">
        <v>382.6</v>
      </c>
      <c r="EW11">
        <v>10142.9</v>
      </c>
      <c r="EX11">
        <v>2994.8</v>
      </c>
      <c r="EY11">
        <v>29419.2</v>
      </c>
      <c r="EZ11">
        <v>0</v>
      </c>
      <c r="FA11">
        <v>76.7</v>
      </c>
      <c r="FB11">
        <v>202.3</v>
      </c>
      <c r="FC11">
        <v>-3168.7</v>
      </c>
      <c r="FD11">
        <v>-2897.7</v>
      </c>
      <c r="FE11">
        <v>59.8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5939.5</v>
      </c>
      <c r="RO11">
        <v>0</v>
      </c>
      <c r="RP11">
        <v>27.8</v>
      </c>
      <c r="RQ11">
        <v>4166.2</v>
      </c>
      <c r="RR11">
        <v>17.4</v>
      </c>
      <c r="RS11">
        <v>386.2</v>
      </c>
      <c r="RT11">
        <v>185.5</v>
      </c>
      <c r="RU11">
        <v>0</v>
      </c>
      <c r="RV11">
        <v>993.8</v>
      </c>
      <c r="RW11">
        <v>1689.3</v>
      </c>
      <c r="RX11">
        <v>319.4</v>
      </c>
      <c r="RY11">
        <v>4565.2</v>
      </c>
      <c r="RZ11">
        <v>0</v>
      </c>
      <c r="SA11">
        <v>16327.9</v>
      </c>
      <c r="SB11">
        <v>0</v>
      </c>
      <c r="SC11">
        <v>60.8</v>
      </c>
      <c r="SD11">
        <v>10.5</v>
      </c>
      <c r="SE11">
        <v>-2513.5</v>
      </c>
      <c r="SF11">
        <v>-2534.4</v>
      </c>
      <c r="SG11">
        <v>22.1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824.6</v>
      </c>
      <c r="AET11">
        <v>0</v>
      </c>
      <c r="AEU11">
        <v>290</v>
      </c>
      <c r="AEV11">
        <v>0</v>
      </c>
      <c r="AEW11">
        <v>0</v>
      </c>
      <c r="AEX11">
        <v>712.5</v>
      </c>
      <c r="AEY11">
        <v>284.8</v>
      </c>
      <c r="AEZ11">
        <v>356.6</v>
      </c>
      <c r="AFA11">
        <v>1376.5</v>
      </c>
      <c r="AFB11">
        <v>8.1</v>
      </c>
      <c r="AFC11">
        <v>1693.7</v>
      </c>
      <c r="AFD11">
        <v>0</v>
      </c>
      <c r="AFE11">
        <v>0</v>
      </c>
      <c r="AFF11">
        <v>25.5</v>
      </c>
      <c r="AFG11">
        <v>-1334.7</v>
      </c>
      <c r="AFH11">
        <v>2339.4</v>
      </c>
      <c r="AFI11">
        <v>24.5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41654.8</v>
      </c>
      <c r="ARS11">
        <v>0</v>
      </c>
      <c r="ART11">
        <v>52</v>
      </c>
      <c r="ARU11">
        <v>1587.9</v>
      </c>
      <c r="ARV11">
        <v>70.4</v>
      </c>
      <c r="ARW11">
        <v>374.2</v>
      </c>
      <c r="ARX11">
        <v>380.6</v>
      </c>
      <c r="ARY11">
        <v>0</v>
      </c>
      <c r="ARZ11">
        <v>4227</v>
      </c>
      <c r="ASA11">
        <v>1290.9</v>
      </c>
      <c r="ASB11">
        <v>529.8</v>
      </c>
      <c r="ASC11">
        <v>4097.8</v>
      </c>
      <c r="ASD11">
        <v>602.8</v>
      </c>
      <c r="ASE11">
        <v>10607</v>
      </c>
      <c r="ASF11">
        <v>0</v>
      </c>
      <c r="ASG11">
        <v>0</v>
      </c>
      <c r="ASH11">
        <v>22</v>
      </c>
      <c r="ASI11">
        <v>-1595.4</v>
      </c>
      <c r="ASJ11">
        <v>-6594.8</v>
      </c>
      <c r="ASK11">
        <v>37.7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222.2</v>
      </c>
      <c r="BEW11">
        <v>9813.5</v>
      </c>
      <c r="BEX11">
        <v>55.5</v>
      </c>
      <c r="BEY11">
        <v>486.5</v>
      </c>
      <c r="BEZ11">
        <v>1.8</v>
      </c>
      <c r="BFA11">
        <v>481.6</v>
      </c>
      <c r="BFB11">
        <v>2366.4</v>
      </c>
      <c r="BFC11">
        <v>268.8</v>
      </c>
      <c r="BFD11">
        <v>66.4</v>
      </c>
      <c r="BFE11">
        <v>2543.2</v>
      </c>
      <c r="BFF11">
        <v>6</v>
      </c>
      <c r="BFG11">
        <v>12758.8</v>
      </c>
      <c r="BFH11">
        <v>0</v>
      </c>
      <c r="BFI11">
        <v>0</v>
      </c>
      <c r="BFJ11">
        <v>1814.2</v>
      </c>
      <c r="BFK11">
        <v>-321</v>
      </c>
      <c r="BFL11">
        <v>3840.4</v>
      </c>
      <c r="BFM11">
        <v>110.5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5842.4</v>
      </c>
      <c r="EN12">
        <v>2720.6</v>
      </c>
      <c r="EO12">
        <v>5927.2</v>
      </c>
      <c r="EP12">
        <v>310.1</v>
      </c>
      <c r="EQ12">
        <v>3787.5</v>
      </c>
      <c r="ER12">
        <v>731.4</v>
      </c>
      <c r="ES12">
        <v>23.3</v>
      </c>
      <c r="ET12">
        <v>1397.6</v>
      </c>
      <c r="EU12">
        <v>87.3</v>
      </c>
      <c r="EV12">
        <v>246.9</v>
      </c>
      <c r="EW12">
        <v>9960.6</v>
      </c>
      <c r="EX12">
        <v>2913.9</v>
      </c>
      <c r="EY12">
        <v>32029.5</v>
      </c>
      <c r="EZ12">
        <v>0</v>
      </c>
      <c r="FA12">
        <v>77.2</v>
      </c>
      <c r="FB12">
        <v>199.7</v>
      </c>
      <c r="FC12">
        <v>-3581.8</v>
      </c>
      <c r="FD12">
        <v>-4012.5</v>
      </c>
      <c r="FE12">
        <v>46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5943.8</v>
      </c>
      <c r="RO12">
        <v>0</v>
      </c>
      <c r="RP12">
        <v>28.1</v>
      </c>
      <c r="RQ12">
        <v>3991.3</v>
      </c>
      <c r="RR12">
        <v>17.2</v>
      </c>
      <c r="RS12">
        <v>382.7</v>
      </c>
      <c r="RT12">
        <v>184.9</v>
      </c>
      <c r="RU12">
        <v>0</v>
      </c>
      <c r="RV12">
        <v>969.2</v>
      </c>
      <c r="RW12">
        <v>1501</v>
      </c>
      <c r="RX12">
        <v>229.4</v>
      </c>
      <c r="RY12">
        <v>4454.3</v>
      </c>
      <c r="RZ12">
        <v>0</v>
      </c>
      <c r="SA12">
        <v>17200.9</v>
      </c>
      <c r="SB12">
        <v>0</v>
      </c>
      <c r="SC12">
        <v>61.2</v>
      </c>
      <c r="SD12">
        <v>10.1</v>
      </c>
      <c r="SE12">
        <v>-2882.6</v>
      </c>
      <c r="SF12">
        <v>-2594.9</v>
      </c>
      <c r="SG12">
        <v>17.8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823.8</v>
      </c>
      <c r="AET12">
        <v>0</v>
      </c>
      <c r="AEU12">
        <v>289.2</v>
      </c>
      <c r="AEV12">
        <v>0</v>
      </c>
      <c r="AEW12">
        <v>0</v>
      </c>
      <c r="AEX12">
        <v>634.1</v>
      </c>
      <c r="AEY12">
        <v>258.8</v>
      </c>
      <c r="AEZ12">
        <v>262.7</v>
      </c>
      <c r="AFA12">
        <v>1325.6</v>
      </c>
      <c r="AFB12">
        <v>7.9</v>
      </c>
      <c r="AFC12">
        <v>2007.2</v>
      </c>
      <c r="AFD12">
        <v>0</v>
      </c>
      <c r="AFE12">
        <v>0</v>
      </c>
      <c r="AFF12">
        <v>25.6</v>
      </c>
      <c r="AFG12">
        <v>-1544.1</v>
      </c>
      <c r="AFH12">
        <v>2533.4</v>
      </c>
      <c r="AFI12">
        <v>20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40946.9</v>
      </c>
      <c r="ARS12">
        <v>0</v>
      </c>
      <c r="ART12">
        <v>50.9</v>
      </c>
      <c r="ARU12">
        <v>1520.2</v>
      </c>
      <c r="ARV12">
        <v>66.8</v>
      </c>
      <c r="ARW12">
        <v>373.9</v>
      </c>
      <c r="ARX12">
        <v>381</v>
      </c>
      <c r="ARY12">
        <v>0</v>
      </c>
      <c r="ARZ12">
        <v>4087</v>
      </c>
      <c r="ASA12">
        <v>1121.7</v>
      </c>
      <c r="ASB12">
        <v>334.2</v>
      </c>
      <c r="ASC12">
        <v>4083.8</v>
      </c>
      <c r="ASD12">
        <v>577.8</v>
      </c>
      <c r="ASE12">
        <v>12129.8</v>
      </c>
      <c r="ASF12">
        <v>0</v>
      </c>
      <c r="ASG12">
        <v>0</v>
      </c>
      <c r="ASH12">
        <v>17.5</v>
      </c>
      <c r="ASI12">
        <v>-1863.2</v>
      </c>
      <c r="ASJ12">
        <v>-6090.6</v>
      </c>
      <c r="ASK12">
        <v>29.3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221.3</v>
      </c>
      <c r="BEW12">
        <v>9229.3</v>
      </c>
      <c r="BEX12">
        <v>55.5</v>
      </c>
      <c r="BEY12">
        <v>488.9</v>
      </c>
      <c r="BEZ12">
        <v>1.8</v>
      </c>
      <c r="BFA12">
        <v>481.7</v>
      </c>
      <c r="BFB12">
        <v>2258.3</v>
      </c>
      <c r="BFC12">
        <v>229.7</v>
      </c>
      <c r="BFD12">
        <v>18.2</v>
      </c>
      <c r="BFE12">
        <v>2638</v>
      </c>
      <c r="BFF12">
        <v>6</v>
      </c>
      <c r="BFG12">
        <v>13839</v>
      </c>
      <c r="BFH12">
        <v>0</v>
      </c>
      <c r="BFI12">
        <v>0</v>
      </c>
      <c r="BFJ12">
        <v>1757.6</v>
      </c>
      <c r="BFK12">
        <v>-568.8</v>
      </c>
      <c r="BFL12">
        <v>3705.7</v>
      </c>
      <c r="BFM12">
        <v>98.4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5708.7</v>
      </c>
      <c r="EN13">
        <v>2627.5</v>
      </c>
      <c r="EO13">
        <v>5821.7</v>
      </c>
      <c r="EP13">
        <v>308.1</v>
      </c>
      <c r="EQ13">
        <v>3730.6</v>
      </c>
      <c r="ER13">
        <v>730.4</v>
      </c>
      <c r="ES13">
        <v>23.2</v>
      </c>
      <c r="ET13">
        <v>1397.6</v>
      </c>
      <c r="EU13">
        <v>81.6</v>
      </c>
      <c r="EV13">
        <v>173</v>
      </c>
      <c r="EW13">
        <v>9876.2</v>
      </c>
      <c r="EX13">
        <v>2862.7</v>
      </c>
      <c r="EY13">
        <v>32487</v>
      </c>
      <c r="EZ13">
        <v>0</v>
      </c>
      <c r="FA13">
        <v>77.6</v>
      </c>
      <c r="FB13">
        <v>198.3</v>
      </c>
      <c r="FC13">
        <v>-3835.1</v>
      </c>
      <c r="FD13">
        <v>-4546.6</v>
      </c>
      <c r="FE13">
        <v>35.9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5935.1</v>
      </c>
      <c r="RO13">
        <v>0</v>
      </c>
      <c r="RP13">
        <v>28.4</v>
      </c>
      <c r="RQ13">
        <v>3931.8</v>
      </c>
      <c r="RR13">
        <v>17</v>
      </c>
      <c r="RS13">
        <v>381</v>
      </c>
      <c r="RT13">
        <v>184.9</v>
      </c>
      <c r="RU13">
        <v>0</v>
      </c>
      <c r="RV13">
        <v>956.7</v>
      </c>
      <c r="RW13">
        <v>1408.5</v>
      </c>
      <c r="RX13">
        <v>201.7</v>
      </c>
      <c r="RY13">
        <v>4528.2</v>
      </c>
      <c r="RZ13">
        <v>0</v>
      </c>
      <c r="SA13">
        <v>17518.4</v>
      </c>
      <c r="SB13">
        <v>0</v>
      </c>
      <c r="SC13">
        <v>61.9</v>
      </c>
      <c r="SD13">
        <v>9.8</v>
      </c>
      <c r="SE13">
        <v>-3051.6</v>
      </c>
      <c r="SF13">
        <v>-2631.1</v>
      </c>
      <c r="SG13">
        <v>15.8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816.4</v>
      </c>
      <c r="AET13">
        <v>0</v>
      </c>
      <c r="AEU13">
        <v>289.6</v>
      </c>
      <c r="AEV13">
        <v>0</v>
      </c>
      <c r="AEW13">
        <v>0</v>
      </c>
      <c r="AEX13">
        <v>583</v>
      </c>
      <c r="AEY13">
        <v>236.9</v>
      </c>
      <c r="AEZ13">
        <v>222.1</v>
      </c>
      <c r="AFA13">
        <v>1319</v>
      </c>
      <c r="AFB13">
        <v>8.3</v>
      </c>
      <c r="AFC13">
        <v>2143.9</v>
      </c>
      <c r="AFD13">
        <v>0</v>
      </c>
      <c r="AFE13">
        <v>0</v>
      </c>
      <c r="AFF13">
        <v>25.6</v>
      </c>
      <c r="AFG13">
        <v>-1674.1</v>
      </c>
      <c r="AFH13">
        <v>2665.6</v>
      </c>
      <c r="AFI13">
        <v>17.9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40442.1</v>
      </c>
      <c r="ARS13">
        <v>0</v>
      </c>
      <c r="ART13">
        <v>50.5</v>
      </c>
      <c r="ARU13">
        <v>1467.9</v>
      </c>
      <c r="ARV13">
        <v>61.6</v>
      </c>
      <c r="ARW13">
        <v>372.9</v>
      </c>
      <c r="ARX13">
        <v>379.9</v>
      </c>
      <c r="ARY13">
        <v>0</v>
      </c>
      <c r="ARZ13">
        <v>4010.4</v>
      </c>
      <c r="ASA13">
        <v>1046.2</v>
      </c>
      <c r="ASB13">
        <v>261.5</v>
      </c>
      <c r="ASC13">
        <v>4064.4</v>
      </c>
      <c r="ASD13">
        <v>564.7</v>
      </c>
      <c r="ASE13">
        <v>12654.4</v>
      </c>
      <c r="ASF13">
        <v>0</v>
      </c>
      <c r="ASG13">
        <v>0</v>
      </c>
      <c r="ASH13">
        <v>14.8</v>
      </c>
      <c r="ASI13">
        <v>-2047.4</v>
      </c>
      <c r="ASJ13">
        <v>-6029</v>
      </c>
      <c r="ASK13">
        <v>21.8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221.9</v>
      </c>
      <c r="BEW13">
        <v>8987.1</v>
      </c>
      <c r="BEX13">
        <v>55.4</v>
      </c>
      <c r="BEY13">
        <v>491.2</v>
      </c>
      <c r="BEZ13">
        <v>1.9</v>
      </c>
      <c r="BFA13">
        <v>481.7</v>
      </c>
      <c r="BFB13">
        <v>2190.4</v>
      </c>
      <c r="BFC13">
        <v>202.2</v>
      </c>
      <c r="BFD13">
        <v>7.3</v>
      </c>
      <c r="BFE13">
        <v>2765.9</v>
      </c>
      <c r="BFF13">
        <v>6.4</v>
      </c>
      <c r="BFG13">
        <v>13954.6</v>
      </c>
      <c r="BFH13">
        <v>0</v>
      </c>
      <c r="BFI13">
        <v>0</v>
      </c>
      <c r="BFJ13">
        <v>1752.3</v>
      </c>
      <c r="BFK13">
        <v>-683.1</v>
      </c>
      <c r="BFL13">
        <v>3652.6</v>
      </c>
      <c r="BFM13">
        <v>93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5748.9</v>
      </c>
      <c r="EN14">
        <v>2632</v>
      </c>
      <c r="EO14">
        <v>5784</v>
      </c>
      <c r="EP14">
        <v>300.5</v>
      </c>
      <c r="EQ14">
        <v>3723.8</v>
      </c>
      <c r="ER14">
        <v>731.7</v>
      </c>
      <c r="ES14">
        <v>23.1</v>
      </c>
      <c r="ET14">
        <v>1393.1</v>
      </c>
      <c r="EU14">
        <v>82.9</v>
      </c>
      <c r="EV14">
        <v>150.1</v>
      </c>
      <c r="EW14">
        <v>10064.8</v>
      </c>
      <c r="EX14">
        <v>2838.9</v>
      </c>
      <c r="EY14">
        <v>30992.2</v>
      </c>
      <c r="EZ14">
        <v>0</v>
      </c>
      <c r="FA14">
        <v>78</v>
      </c>
      <c r="FB14">
        <v>198.1</v>
      </c>
      <c r="FC14">
        <v>-3867.9</v>
      </c>
      <c r="FD14">
        <v>-4588</v>
      </c>
      <c r="FE14">
        <v>36.3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5928.9</v>
      </c>
      <c r="RO14">
        <v>0</v>
      </c>
      <c r="RP14">
        <v>28.5</v>
      </c>
      <c r="RQ14">
        <v>3910.8</v>
      </c>
      <c r="RR14">
        <v>16.5</v>
      </c>
      <c r="RS14">
        <v>381.9</v>
      </c>
      <c r="RT14">
        <v>185.2</v>
      </c>
      <c r="RU14">
        <v>0</v>
      </c>
      <c r="RV14">
        <v>948.7</v>
      </c>
      <c r="RW14">
        <v>1377.5</v>
      </c>
      <c r="RX14">
        <v>189.8</v>
      </c>
      <c r="RY14">
        <v>4727</v>
      </c>
      <c r="RZ14">
        <v>0</v>
      </c>
      <c r="SA14">
        <v>17450.6</v>
      </c>
      <c r="SB14">
        <v>0</v>
      </c>
      <c r="SC14">
        <v>62.3</v>
      </c>
      <c r="SD14">
        <v>9.3</v>
      </c>
      <c r="SE14">
        <v>-3125</v>
      </c>
      <c r="SF14">
        <v>-2598.2</v>
      </c>
      <c r="SG14">
        <v>15.7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816.6</v>
      </c>
      <c r="AET14">
        <v>0</v>
      </c>
      <c r="AEU14">
        <v>290.6</v>
      </c>
      <c r="AEV14">
        <v>0</v>
      </c>
      <c r="AEW14">
        <v>0</v>
      </c>
      <c r="AEX14">
        <v>552.8</v>
      </c>
      <c r="AEY14">
        <v>223.2</v>
      </c>
      <c r="AEZ14">
        <v>212.9</v>
      </c>
      <c r="AFA14">
        <v>1340.6</v>
      </c>
      <c r="AFB14">
        <v>8.6</v>
      </c>
      <c r="AFC14">
        <v>2163.6</v>
      </c>
      <c r="AFD14">
        <v>0</v>
      </c>
      <c r="AFE14">
        <v>0</v>
      </c>
      <c r="AFF14">
        <v>25.9</v>
      </c>
      <c r="AFG14">
        <v>-1759.4</v>
      </c>
      <c r="AFH14">
        <v>2654.9</v>
      </c>
      <c r="AFI14">
        <v>17.2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40146.6</v>
      </c>
      <c r="ARS14">
        <v>0</v>
      </c>
      <c r="ART14">
        <v>51.3</v>
      </c>
      <c r="ARU14">
        <v>1440.1</v>
      </c>
      <c r="ARV14">
        <v>57</v>
      </c>
      <c r="ARW14">
        <v>371.5</v>
      </c>
      <c r="ARX14">
        <v>379.6</v>
      </c>
      <c r="ARY14">
        <v>0</v>
      </c>
      <c r="ARZ14">
        <v>3954.4</v>
      </c>
      <c r="ASA14">
        <v>995.5</v>
      </c>
      <c r="ASB14">
        <v>222.5</v>
      </c>
      <c r="ASC14">
        <v>4061.1</v>
      </c>
      <c r="ASD14">
        <v>561.4</v>
      </c>
      <c r="ASE14">
        <v>12540.3</v>
      </c>
      <c r="ASF14">
        <v>0</v>
      </c>
      <c r="ASG14">
        <v>0</v>
      </c>
      <c r="ASH14">
        <v>17.8</v>
      </c>
      <c r="ASI14">
        <v>-2144.7</v>
      </c>
      <c r="ASJ14">
        <v>-6128.6</v>
      </c>
      <c r="ASK14">
        <v>20.3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216.2</v>
      </c>
      <c r="BEW14">
        <v>9208.9</v>
      </c>
      <c r="BEX14">
        <v>58.8</v>
      </c>
      <c r="BEY14">
        <v>490.7</v>
      </c>
      <c r="BEZ14">
        <v>2</v>
      </c>
      <c r="BFA14">
        <v>481.6</v>
      </c>
      <c r="BFB14">
        <v>2177</v>
      </c>
      <c r="BFC14">
        <v>204.1</v>
      </c>
      <c r="BFD14">
        <v>11.4</v>
      </c>
      <c r="BFE14">
        <v>2937.6</v>
      </c>
      <c r="BFF14">
        <v>7</v>
      </c>
      <c r="BFG14">
        <v>13140.2</v>
      </c>
      <c r="BFH14">
        <v>0</v>
      </c>
      <c r="BFI14">
        <v>0</v>
      </c>
      <c r="BFJ14">
        <v>1750.6</v>
      </c>
      <c r="BFK14">
        <v>-669.7</v>
      </c>
      <c r="BFL14">
        <v>3687.8</v>
      </c>
      <c r="BFM14">
        <v>95.7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6016.7</v>
      </c>
      <c r="EN15">
        <v>2726.1</v>
      </c>
      <c r="EO15">
        <v>5904.5</v>
      </c>
      <c r="EP15">
        <v>298.3</v>
      </c>
      <c r="EQ15">
        <v>3770.6</v>
      </c>
      <c r="ER15">
        <v>727</v>
      </c>
      <c r="ES15">
        <v>23.1</v>
      </c>
      <c r="ET15">
        <v>1390.5</v>
      </c>
      <c r="EU15">
        <v>89.8</v>
      </c>
      <c r="EV15">
        <v>194.1</v>
      </c>
      <c r="EW15">
        <v>10537.3</v>
      </c>
      <c r="EX15">
        <v>2856.3</v>
      </c>
      <c r="EY15">
        <v>27544.2</v>
      </c>
      <c r="EZ15">
        <v>0</v>
      </c>
      <c r="FA15">
        <v>78</v>
      </c>
      <c r="FB15">
        <v>199.3</v>
      </c>
      <c r="FC15">
        <v>-3629.7</v>
      </c>
      <c r="FD15">
        <v>-3773.1</v>
      </c>
      <c r="FE15">
        <v>48.4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5935.4</v>
      </c>
      <c r="RO15">
        <v>0</v>
      </c>
      <c r="RP15">
        <v>28.6</v>
      </c>
      <c r="RQ15">
        <v>3961.4</v>
      </c>
      <c r="RR15">
        <v>16.3</v>
      </c>
      <c r="RS15">
        <v>381.7</v>
      </c>
      <c r="RT15">
        <v>186</v>
      </c>
      <c r="RU15">
        <v>0</v>
      </c>
      <c r="RV15">
        <v>945.2</v>
      </c>
      <c r="RW15">
        <v>1408.1</v>
      </c>
      <c r="RX15">
        <v>193.1</v>
      </c>
      <c r="RY15">
        <v>4930.7</v>
      </c>
      <c r="RZ15">
        <v>0</v>
      </c>
      <c r="SA15">
        <v>16920.4</v>
      </c>
      <c r="SB15">
        <v>0</v>
      </c>
      <c r="SC15">
        <v>63.2</v>
      </c>
      <c r="SD15">
        <v>9.1</v>
      </c>
      <c r="SE15">
        <v>-3139.6</v>
      </c>
      <c r="SF15">
        <v>-2708.4</v>
      </c>
      <c r="SG15">
        <v>16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824.7</v>
      </c>
      <c r="AET15">
        <v>0</v>
      </c>
      <c r="AEU15">
        <v>290.2</v>
      </c>
      <c r="AEV15">
        <v>0</v>
      </c>
      <c r="AEW15">
        <v>0</v>
      </c>
      <c r="AEX15">
        <v>534.6</v>
      </c>
      <c r="AEY15">
        <v>229.4</v>
      </c>
      <c r="AEZ15">
        <v>214.7</v>
      </c>
      <c r="AFA15">
        <v>1378.4</v>
      </c>
      <c r="AFB15">
        <v>9.2</v>
      </c>
      <c r="AFC15">
        <v>2092.9</v>
      </c>
      <c r="AFD15">
        <v>0</v>
      </c>
      <c r="AFE15">
        <v>0</v>
      </c>
      <c r="AFF15">
        <v>25.9</v>
      </c>
      <c r="AFG15">
        <v>-1738.4</v>
      </c>
      <c r="AFH15">
        <v>2611.3</v>
      </c>
      <c r="AFI15">
        <v>17.1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40081.9</v>
      </c>
      <c r="ARS15">
        <v>0</v>
      </c>
      <c r="ART15">
        <v>52.5</v>
      </c>
      <c r="ARU15">
        <v>1480.7</v>
      </c>
      <c r="ARV15">
        <v>60.9</v>
      </c>
      <c r="ARW15">
        <v>371.4</v>
      </c>
      <c r="ARX15">
        <v>379.9</v>
      </c>
      <c r="ARY15">
        <v>0</v>
      </c>
      <c r="ARZ15">
        <v>3962.1</v>
      </c>
      <c r="ASA15">
        <v>1041.6</v>
      </c>
      <c r="ASB15">
        <v>238.2</v>
      </c>
      <c r="ASC15">
        <v>4125.4</v>
      </c>
      <c r="ASD15">
        <v>563.8</v>
      </c>
      <c r="ASE15">
        <v>11805.4</v>
      </c>
      <c r="ASF15">
        <v>0</v>
      </c>
      <c r="ASG15">
        <v>0</v>
      </c>
      <c r="ASH15">
        <v>21.1</v>
      </c>
      <c r="ASI15">
        <v>-2071</v>
      </c>
      <c r="ASJ15">
        <v>-6631.1</v>
      </c>
      <c r="ASK15">
        <v>25.7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210.4</v>
      </c>
      <c r="BEW15">
        <v>9769.2</v>
      </c>
      <c r="BEX15">
        <v>59.5</v>
      </c>
      <c r="BEY15">
        <v>488.7</v>
      </c>
      <c r="BEZ15">
        <v>2</v>
      </c>
      <c r="BFA15">
        <v>482.2</v>
      </c>
      <c r="BFB15">
        <v>2225.4</v>
      </c>
      <c r="BFC15">
        <v>231.3</v>
      </c>
      <c r="BFD15">
        <v>22.6</v>
      </c>
      <c r="BFE15">
        <v>3120.7</v>
      </c>
      <c r="BFF15">
        <v>7.5</v>
      </c>
      <c r="BFG15">
        <v>11455.1</v>
      </c>
      <c r="BFH15">
        <v>0</v>
      </c>
      <c r="BFI15">
        <v>0</v>
      </c>
      <c r="BFJ15">
        <v>1760.7</v>
      </c>
      <c r="BFK15">
        <v>-511.9</v>
      </c>
      <c r="BFL15">
        <v>3841.2</v>
      </c>
      <c r="BFM15">
        <v>102.2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6640.8</v>
      </c>
      <c r="EN16">
        <v>3011.3</v>
      </c>
      <c r="EO16">
        <v>6311</v>
      </c>
      <c r="EP16">
        <v>302.4</v>
      </c>
      <c r="EQ16">
        <v>3909.3</v>
      </c>
      <c r="ER16">
        <v>732.6</v>
      </c>
      <c r="ES16">
        <v>23.2</v>
      </c>
      <c r="ET16">
        <v>1401.4</v>
      </c>
      <c r="EU16">
        <v>102.6</v>
      </c>
      <c r="EV16">
        <v>338.9</v>
      </c>
      <c r="EW16">
        <v>11281.1</v>
      </c>
      <c r="EX16">
        <v>2965.9</v>
      </c>
      <c r="EY16">
        <v>22169.1</v>
      </c>
      <c r="EZ16">
        <v>0</v>
      </c>
      <c r="FA16">
        <v>78</v>
      </c>
      <c r="FB16">
        <v>201.9</v>
      </c>
      <c r="FC16">
        <v>-2821.8</v>
      </c>
      <c r="FD16">
        <v>-2246.2</v>
      </c>
      <c r="FE16">
        <v>68.4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5918.2</v>
      </c>
      <c r="RO16">
        <v>0</v>
      </c>
      <c r="RP16">
        <v>29.5</v>
      </c>
      <c r="RQ16">
        <v>4091.7</v>
      </c>
      <c r="RR16">
        <v>16.4</v>
      </c>
      <c r="RS16">
        <v>381.2</v>
      </c>
      <c r="RT16">
        <v>185.8</v>
      </c>
      <c r="RU16">
        <v>0</v>
      </c>
      <c r="RV16">
        <v>941.9</v>
      </c>
      <c r="RW16">
        <v>1459.9</v>
      </c>
      <c r="RX16">
        <v>211</v>
      </c>
      <c r="RY16">
        <v>5199</v>
      </c>
      <c r="RZ16">
        <v>0</v>
      </c>
      <c r="SA16">
        <v>16170.9</v>
      </c>
      <c r="SB16">
        <v>0</v>
      </c>
      <c r="SC16">
        <v>62.9</v>
      </c>
      <c r="SD16">
        <v>9.2</v>
      </c>
      <c r="SE16">
        <v>-3054</v>
      </c>
      <c r="SF16">
        <v>-2861.3</v>
      </c>
      <c r="SG16">
        <v>18.3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837.8</v>
      </c>
      <c r="AET16">
        <v>0</v>
      </c>
      <c r="AEU16">
        <v>291</v>
      </c>
      <c r="AEV16">
        <v>0</v>
      </c>
      <c r="AEW16">
        <v>0</v>
      </c>
      <c r="AEX16">
        <v>546.1</v>
      </c>
      <c r="AEY16">
        <v>241.4</v>
      </c>
      <c r="AEZ16">
        <v>245.1</v>
      </c>
      <c r="AFA16">
        <v>1413.5</v>
      </c>
      <c r="AFB16">
        <v>9.5</v>
      </c>
      <c r="AFC16">
        <v>1973.8</v>
      </c>
      <c r="AFD16">
        <v>0</v>
      </c>
      <c r="AFE16">
        <v>0</v>
      </c>
      <c r="AFF16">
        <v>26</v>
      </c>
      <c r="AFG16">
        <v>-1639.8</v>
      </c>
      <c r="AFH16">
        <v>2540.8</v>
      </c>
      <c r="AFI16">
        <v>19.1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40342</v>
      </c>
      <c r="ARS16">
        <v>0</v>
      </c>
      <c r="ART16">
        <v>53.4</v>
      </c>
      <c r="ARU16">
        <v>1548.8</v>
      </c>
      <c r="ARV16">
        <v>56.7</v>
      </c>
      <c r="ARW16">
        <v>371.9</v>
      </c>
      <c r="ARX16">
        <v>380.5</v>
      </c>
      <c r="ARY16">
        <v>0</v>
      </c>
      <c r="ARZ16">
        <v>4061.8</v>
      </c>
      <c r="ASA16">
        <v>1211</v>
      </c>
      <c r="ASB16">
        <v>400.6</v>
      </c>
      <c r="ASC16">
        <v>4302.2</v>
      </c>
      <c r="ASD16">
        <v>618.4</v>
      </c>
      <c r="ASE16">
        <v>10313.8</v>
      </c>
      <c r="ASF16">
        <v>0</v>
      </c>
      <c r="ASG16">
        <v>0</v>
      </c>
      <c r="ASH16">
        <v>15.3</v>
      </c>
      <c r="ASI16">
        <v>-1884.4</v>
      </c>
      <c r="ASJ16">
        <v>-7456.5</v>
      </c>
      <c r="ASK16">
        <v>32.7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210.3</v>
      </c>
      <c r="BEW16">
        <v>11061.6</v>
      </c>
      <c r="BEX16">
        <v>58.8</v>
      </c>
      <c r="BEY16">
        <v>490.4</v>
      </c>
      <c r="BEZ16">
        <v>1.9</v>
      </c>
      <c r="BFA16">
        <v>483.1</v>
      </c>
      <c r="BFB16">
        <v>2358.4</v>
      </c>
      <c r="BFC16">
        <v>288</v>
      </c>
      <c r="BFD16">
        <v>53</v>
      </c>
      <c r="BFE16">
        <v>3233.8</v>
      </c>
      <c r="BFF16">
        <v>8.4</v>
      </c>
      <c r="BFG16">
        <v>8953.1</v>
      </c>
      <c r="BFH16">
        <v>0</v>
      </c>
      <c r="BFI16">
        <v>0</v>
      </c>
      <c r="BFJ16">
        <v>1791.7</v>
      </c>
      <c r="BFK16">
        <v>-287.7</v>
      </c>
      <c r="BFL16">
        <v>4086.4</v>
      </c>
      <c r="BFM16">
        <v>115.2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7502.8</v>
      </c>
      <c r="EN17">
        <v>3509.3</v>
      </c>
      <c r="EO17">
        <v>7224.8</v>
      </c>
      <c r="EP17">
        <v>303.8</v>
      </c>
      <c r="EQ17">
        <v>4157.8</v>
      </c>
      <c r="ER17">
        <v>745.1</v>
      </c>
      <c r="ES17">
        <v>23.3</v>
      </c>
      <c r="ET17">
        <v>1432.6</v>
      </c>
      <c r="EU17">
        <v>135.4</v>
      </c>
      <c r="EV17">
        <v>867.2</v>
      </c>
      <c r="EW17">
        <v>12151.1</v>
      </c>
      <c r="EX17">
        <v>3149.3</v>
      </c>
      <c r="EY17">
        <v>15396.2</v>
      </c>
      <c r="EZ17">
        <v>0</v>
      </c>
      <c r="FA17">
        <v>77.7</v>
      </c>
      <c r="FB17">
        <v>207.6</v>
      </c>
      <c r="FC17">
        <v>-1403.7</v>
      </c>
      <c r="FD17">
        <v>-746.7</v>
      </c>
      <c r="FE17">
        <v>95.9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5931.1</v>
      </c>
      <c r="RO17">
        <v>0</v>
      </c>
      <c r="RP17">
        <v>30.4</v>
      </c>
      <c r="RQ17">
        <v>4370.2</v>
      </c>
      <c r="RR17">
        <v>16.7</v>
      </c>
      <c r="RS17">
        <v>389.4</v>
      </c>
      <c r="RT17">
        <v>187.2</v>
      </c>
      <c r="RU17">
        <v>0</v>
      </c>
      <c r="RV17">
        <v>961.2</v>
      </c>
      <c r="RW17">
        <v>1636.4</v>
      </c>
      <c r="RX17">
        <v>282.2</v>
      </c>
      <c r="RY17">
        <v>5716.3</v>
      </c>
      <c r="RZ17">
        <v>0</v>
      </c>
      <c r="SA17">
        <v>15202.1</v>
      </c>
      <c r="SB17">
        <v>0</v>
      </c>
      <c r="SC17">
        <v>63.5</v>
      </c>
      <c r="SD17">
        <v>8.9</v>
      </c>
      <c r="SE17">
        <v>-2702.9</v>
      </c>
      <c r="SF17">
        <v>-2907.8</v>
      </c>
      <c r="SG17">
        <v>23.7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866.4</v>
      </c>
      <c r="AET17">
        <v>0</v>
      </c>
      <c r="AEU17">
        <v>290.8</v>
      </c>
      <c r="AEV17">
        <v>0</v>
      </c>
      <c r="AEW17">
        <v>0</v>
      </c>
      <c r="AEX17">
        <v>585.5</v>
      </c>
      <c r="AEY17">
        <v>274.4</v>
      </c>
      <c r="AEZ17">
        <v>318.8</v>
      </c>
      <c r="AFA17">
        <v>1461.8</v>
      </c>
      <c r="AFB17">
        <v>10</v>
      </c>
      <c r="AFC17">
        <v>1767.5</v>
      </c>
      <c r="AFD17">
        <v>0</v>
      </c>
      <c r="AFE17">
        <v>0</v>
      </c>
      <c r="AFF17">
        <v>26</v>
      </c>
      <c r="AFG17">
        <v>-1411</v>
      </c>
      <c r="AFH17">
        <v>2349.1</v>
      </c>
      <c r="AFI17">
        <v>24.2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41062.3</v>
      </c>
      <c r="ARS17">
        <v>0</v>
      </c>
      <c r="ART17">
        <v>55.7</v>
      </c>
      <c r="ARU17">
        <v>1711.8</v>
      </c>
      <c r="ARV17">
        <v>58</v>
      </c>
      <c r="ARW17">
        <v>372.7</v>
      </c>
      <c r="ARX17">
        <v>381.9</v>
      </c>
      <c r="ARY17">
        <v>0</v>
      </c>
      <c r="ARZ17">
        <v>4272.4</v>
      </c>
      <c r="ASA17">
        <v>1409</v>
      </c>
      <c r="ASB17">
        <v>487.1</v>
      </c>
      <c r="ASC17">
        <v>4679.7</v>
      </c>
      <c r="ASD17">
        <v>685.3</v>
      </c>
      <c r="ASE17">
        <v>8234.7</v>
      </c>
      <c r="ASF17">
        <v>0</v>
      </c>
      <c r="ASG17">
        <v>0</v>
      </c>
      <c r="ASH17">
        <v>13.9</v>
      </c>
      <c r="ASI17">
        <v>-1521.5</v>
      </c>
      <c r="ASJ17">
        <v>-8044.4</v>
      </c>
      <c r="ASK17">
        <v>44.8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213.4</v>
      </c>
      <c r="BEW17">
        <v>13262.7</v>
      </c>
      <c r="BEX17">
        <v>61.9</v>
      </c>
      <c r="BEY17">
        <v>493.1</v>
      </c>
      <c r="BEZ17">
        <v>1.9</v>
      </c>
      <c r="BFA17">
        <v>483.8</v>
      </c>
      <c r="BFB17">
        <v>2599.3</v>
      </c>
      <c r="BFC17">
        <v>390.5</v>
      </c>
      <c r="BFD17">
        <v>171.3</v>
      </c>
      <c r="BFE17">
        <v>3303.4</v>
      </c>
      <c r="BFF17">
        <v>8.9</v>
      </c>
      <c r="BFG17">
        <v>5842.1</v>
      </c>
      <c r="BFH17">
        <v>0</v>
      </c>
      <c r="BFI17">
        <v>0</v>
      </c>
      <c r="BFJ17">
        <v>1928.2</v>
      </c>
      <c r="BFK17">
        <v>-51.5</v>
      </c>
      <c r="BFL17">
        <v>4208.6</v>
      </c>
      <c r="BFM17">
        <v>133.1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8222.6</v>
      </c>
      <c r="EN18">
        <v>3999.4</v>
      </c>
      <c r="EO18">
        <v>8367.1</v>
      </c>
      <c r="EP18">
        <v>315.9</v>
      </c>
      <c r="EQ18">
        <v>4429.3</v>
      </c>
      <c r="ER18">
        <v>756.1</v>
      </c>
      <c r="ES18">
        <v>23.4</v>
      </c>
      <c r="ET18">
        <v>1462.4</v>
      </c>
      <c r="EU18">
        <v>202.9</v>
      </c>
      <c r="EV18">
        <v>2143.2</v>
      </c>
      <c r="EW18">
        <v>12606.3</v>
      </c>
      <c r="EX18">
        <v>3276.1</v>
      </c>
      <c r="EY18">
        <v>8418.9</v>
      </c>
      <c r="EZ18">
        <v>0</v>
      </c>
      <c r="FA18">
        <v>77.4</v>
      </c>
      <c r="FB18">
        <v>216.6</v>
      </c>
      <c r="FC18">
        <v>-376.4</v>
      </c>
      <c r="FD18">
        <v>1818.4</v>
      </c>
      <c r="FE18">
        <v>126.7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5913.7</v>
      </c>
      <c r="RO18">
        <v>0</v>
      </c>
      <c r="RP18">
        <v>31.2</v>
      </c>
      <c r="RQ18">
        <v>5027.8</v>
      </c>
      <c r="RR18">
        <v>17.4</v>
      </c>
      <c r="RS18">
        <v>395</v>
      </c>
      <c r="RT18">
        <v>187.9</v>
      </c>
      <c r="RU18">
        <v>0</v>
      </c>
      <c r="RV18">
        <v>1006.2</v>
      </c>
      <c r="RW18">
        <v>2087.8</v>
      </c>
      <c r="RX18">
        <v>513.7</v>
      </c>
      <c r="RY18">
        <v>6543.4</v>
      </c>
      <c r="RZ18">
        <v>0</v>
      </c>
      <c r="SA18">
        <v>12898.9</v>
      </c>
      <c r="SB18">
        <v>0</v>
      </c>
      <c r="SC18">
        <v>64.2</v>
      </c>
      <c r="SD18">
        <v>8.9</v>
      </c>
      <c r="SE18">
        <v>-1908.2</v>
      </c>
      <c r="SF18">
        <v>-2920.7</v>
      </c>
      <c r="SG18">
        <v>35.9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933.4</v>
      </c>
      <c r="AET18">
        <v>0</v>
      </c>
      <c r="AEU18">
        <v>291.8</v>
      </c>
      <c r="AEV18">
        <v>0</v>
      </c>
      <c r="AEW18">
        <v>0</v>
      </c>
      <c r="AEX18">
        <v>712.6</v>
      </c>
      <c r="AEY18">
        <v>335.1</v>
      </c>
      <c r="AEZ18">
        <v>527.3</v>
      </c>
      <c r="AFA18">
        <v>1523</v>
      </c>
      <c r="AFB18">
        <v>10.2</v>
      </c>
      <c r="AFC18">
        <v>1422.8</v>
      </c>
      <c r="AFD18">
        <v>0</v>
      </c>
      <c r="AFE18">
        <v>0</v>
      </c>
      <c r="AFF18">
        <v>26.3</v>
      </c>
      <c r="AFG18">
        <v>-999.3</v>
      </c>
      <c r="AFH18">
        <v>1912.8</v>
      </c>
      <c r="AFI18">
        <v>35.6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42368</v>
      </c>
      <c r="ARS18">
        <v>0</v>
      </c>
      <c r="ART18">
        <v>58.1</v>
      </c>
      <c r="ARU18">
        <v>2063</v>
      </c>
      <c r="ARV18">
        <v>82</v>
      </c>
      <c r="ARW18">
        <v>373.7</v>
      </c>
      <c r="ARX18">
        <v>382.9</v>
      </c>
      <c r="ARY18">
        <v>0</v>
      </c>
      <c r="ARZ18">
        <v>4635.8</v>
      </c>
      <c r="ASA18">
        <v>1811.4</v>
      </c>
      <c r="ASB18">
        <v>940</v>
      </c>
      <c r="ASC18">
        <v>5103.1</v>
      </c>
      <c r="ASD18">
        <v>741.5</v>
      </c>
      <c r="ASE18">
        <v>5486</v>
      </c>
      <c r="ASF18">
        <v>0</v>
      </c>
      <c r="ASG18">
        <v>0</v>
      </c>
      <c r="ASH18">
        <v>17.1</v>
      </c>
      <c r="ASI18">
        <v>-828.4</v>
      </c>
      <c r="ASJ18">
        <v>-8184.1</v>
      </c>
      <c r="ASK18">
        <v>68.4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221.3</v>
      </c>
      <c r="BEW18">
        <v>15700.9</v>
      </c>
      <c r="BEX18">
        <v>62.3</v>
      </c>
      <c r="BEY18">
        <v>493.9</v>
      </c>
      <c r="BEZ18">
        <v>2</v>
      </c>
      <c r="BFA18">
        <v>484.7</v>
      </c>
      <c r="BFB18">
        <v>2991.7</v>
      </c>
      <c r="BFC18">
        <v>600.7</v>
      </c>
      <c r="BFD18">
        <v>452.1</v>
      </c>
      <c r="BFE18">
        <v>3241.8</v>
      </c>
      <c r="BFF18">
        <v>8.4</v>
      </c>
      <c r="BFG18">
        <v>2736.1</v>
      </c>
      <c r="BFH18">
        <v>0</v>
      </c>
      <c r="BFI18">
        <v>0</v>
      </c>
      <c r="BFJ18">
        <v>2363.3</v>
      </c>
      <c r="BFK18">
        <v>0</v>
      </c>
      <c r="BFL18">
        <v>4316.3</v>
      </c>
      <c r="BFM18">
        <v>150.4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8520.5</v>
      </c>
      <c r="EN19">
        <v>4239.4</v>
      </c>
      <c r="EO19">
        <v>9048.8</v>
      </c>
      <c r="EP19">
        <v>324.7</v>
      </c>
      <c r="EQ19">
        <v>4571.8</v>
      </c>
      <c r="ER19">
        <v>760.5</v>
      </c>
      <c r="ES19">
        <v>23.7</v>
      </c>
      <c r="ET19">
        <v>1471.1</v>
      </c>
      <c r="EU19">
        <v>263.4</v>
      </c>
      <c r="EV19">
        <v>3609.7</v>
      </c>
      <c r="EW19">
        <v>12721.3</v>
      </c>
      <c r="EX19">
        <v>3338.2</v>
      </c>
      <c r="EY19">
        <v>3325.1</v>
      </c>
      <c r="EZ19">
        <v>0</v>
      </c>
      <c r="FA19">
        <v>77.2</v>
      </c>
      <c r="FB19">
        <v>221.4</v>
      </c>
      <c r="FC19">
        <v>-72.9</v>
      </c>
      <c r="FD19">
        <v>3909.1</v>
      </c>
      <c r="FE19">
        <v>153.2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5921.7</v>
      </c>
      <c r="RO19">
        <v>0</v>
      </c>
      <c r="RP19">
        <v>31.1</v>
      </c>
      <c r="RQ19">
        <v>6161.4</v>
      </c>
      <c r="RR19">
        <v>19.4</v>
      </c>
      <c r="RS19">
        <v>404.3</v>
      </c>
      <c r="RT19">
        <v>189.9</v>
      </c>
      <c r="RU19">
        <v>0</v>
      </c>
      <c r="RV19">
        <v>1102.3</v>
      </c>
      <c r="RW19">
        <v>2982.7</v>
      </c>
      <c r="RX19">
        <v>1212.4</v>
      </c>
      <c r="RY19">
        <v>7478.6</v>
      </c>
      <c r="RZ19">
        <v>0</v>
      </c>
      <c r="SA19">
        <v>8633.1</v>
      </c>
      <c r="SB19">
        <v>0</v>
      </c>
      <c r="SC19">
        <v>66.7</v>
      </c>
      <c r="SD19">
        <v>10.1</v>
      </c>
      <c r="SE19">
        <v>-819.3</v>
      </c>
      <c r="SF19">
        <v>-2431.1</v>
      </c>
      <c r="SG19">
        <v>64.2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1071.6</v>
      </c>
      <c r="AET19">
        <v>0</v>
      </c>
      <c r="AEU19">
        <v>291</v>
      </c>
      <c r="AEV19">
        <v>0</v>
      </c>
      <c r="AEW19">
        <v>0</v>
      </c>
      <c r="AEX19">
        <v>912.1</v>
      </c>
      <c r="AEY19">
        <v>428.6</v>
      </c>
      <c r="AEZ19">
        <v>977</v>
      </c>
      <c r="AFA19">
        <v>1547</v>
      </c>
      <c r="AFB19">
        <v>10.3</v>
      </c>
      <c r="AFC19">
        <v>872.8</v>
      </c>
      <c r="AFD19">
        <v>0</v>
      </c>
      <c r="AFE19">
        <v>0</v>
      </c>
      <c r="AFF19">
        <v>26.2</v>
      </c>
      <c r="AFG19">
        <v>-406.3</v>
      </c>
      <c r="AFH19">
        <v>1255.8</v>
      </c>
      <c r="AFI19">
        <v>61.4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43316.6</v>
      </c>
      <c r="ARS19">
        <v>0</v>
      </c>
      <c r="ART19">
        <v>58.3</v>
      </c>
      <c r="ARU19">
        <v>2435.9</v>
      </c>
      <c r="ARV19">
        <v>122.8</v>
      </c>
      <c r="ARW19">
        <v>373.2</v>
      </c>
      <c r="ARX19">
        <v>380.9</v>
      </c>
      <c r="ARY19">
        <v>0</v>
      </c>
      <c r="ARZ19">
        <v>5059.4</v>
      </c>
      <c r="ASA19">
        <v>2388.4</v>
      </c>
      <c r="ASB19">
        <v>2150.6</v>
      </c>
      <c r="ASC19">
        <v>5235.2</v>
      </c>
      <c r="ASD19">
        <v>786.9</v>
      </c>
      <c r="ASE19">
        <v>2609.8</v>
      </c>
      <c r="ASF19">
        <v>0</v>
      </c>
      <c r="ASG19">
        <v>0</v>
      </c>
      <c r="ASH19">
        <v>24.4</v>
      </c>
      <c r="ASI19">
        <v>-190.9</v>
      </c>
      <c r="ASJ19">
        <v>-8033.5</v>
      </c>
      <c r="ASK19">
        <v>101.4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230.9</v>
      </c>
      <c r="BEW19">
        <v>16957.3</v>
      </c>
      <c r="BEX19">
        <v>64.1</v>
      </c>
      <c r="BEY19">
        <v>493</v>
      </c>
      <c r="BEZ19">
        <v>1.9</v>
      </c>
      <c r="BFA19">
        <v>485.9</v>
      </c>
      <c r="BFB19">
        <v>3408.8</v>
      </c>
      <c r="BFC19">
        <v>820.6</v>
      </c>
      <c r="BFD19">
        <v>919.7</v>
      </c>
      <c r="BFE19">
        <v>3058.5</v>
      </c>
      <c r="BFF19">
        <v>7.6</v>
      </c>
      <c r="BFG19">
        <v>729.1</v>
      </c>
      <c r="BFH19">
        <v>0</v>
      </c>
      <c r="BFI19">
        <v>0</v>
      </c>
      <c r="BFJ19">
        <v>2962</v>
      </c>
      <c r="BFK19">
        <v>0</v>
      </c>
      <c r="BFL19">
        <v>4414.6</v>
      </c>
      <c r="BFM19">
        <v>164.4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8579.9</v>
      </c>
      <c r="EN20">
        <v>4304.6</v>
      </c>
      <c r="EO20">
        <v>9210.3</v>
      </c>
      <c r="EP20">
        <v>320.2</v>
      </c>
      <c r="EQ20">
        <v>4580.6</v>
      </c>
      <c r="ER20">
        <v>760.7</v>
      </c>
      <c r="ES20">
        <v>24</v>
      </c>
      <c r="ET20">
        <v>1458.3</v>
      </c>
      <c r="EU20">
        <v>291.4</v>
      </c>
      <c r="EV20">
        <v>4031.8</v>
      </c>
      <c r="EW20">
        <v>12892.4</v>
      </c>
      <c r="EX20">
        <v>3379.8</v>
      </c>
      <c r="EY20">
        <v>820.6</v>
      </c>
      <c r="EZ20">
        <v>0</v>
      </c>
      <c r="FA20">
        <v>77.3</v>
      </c>
      <c r="FB20">
        <v>223.5</v>
      </c>
      <c r="FC20">
        <v>-44.4</v>
      </c>
      <c r="FD20">
        <v>4147.4</v>
      </c>
      <c r="FE20">
        <v>164.2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5930</v>
      </c>
      <c r="RO20">
        <v>0</v>
      </c>
      <c r="RP20">
        <v>31.7</v>
      </c>
      <c r="RQ20">
        <v>7438.3</v>
      </c>
      <c r="RR20">
        <v>22.3</v>
      </c>
      <c r="RS20">
        <v>414.8</v>
      </c>
      <c r="RT20">
        <v>191.7</v>
      </c>
      <c r="RU20">
        <v>0</v>
      </c>
      <c r="RV20">
        <v>1208.9</v>
      </c>
      <c r="RW20">
        <v>4148</v>
      </c>
      <c r="RX20">
        <v>2515.6</v>
      </c>
      <c r="RY20">
        <v>8116.3</v>
      </c>
      <c r="RZ20">
        <v>0</v>
      </c>
      <c r="SA20">
        <v>3379.3</v>
      </c>
      <c r="SB20">
        <v>0</v>
      </c>
      <c r="SC20">
        <v>68.4</v>
      </c>
      <c r="SD20">
        <v>16.5</v>
      </c>
      <c r="SE20">
        <v>-171.3</v>
      </c>
      <c r="SF20">
        <v>-1085.5</v>
      </c>
      <c r="SG20">
        <v>96.6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1118.7</v>
      </c>
      <c r="AET20">
        <v>0</v>
      </c>
      <c r="AEU20">
        <v>293.9</v>
      </c>
      <c r="AEV20">
        <v>0</v>
      </c>
      <c r="AEW20">
        <v>0</v>
      </c>
      <c r="AEX20">
        <v>1272.1</v>
      </c>
      <c r="AEY20">
        <v>614.6</v>
      </c>
      <c r="AEZ20">
        <v>1858.5</v>
      </c>
      <c r="AFA20">
        <v>1582.8</v>
      </c>
      <c r="AFB20">
        <v>10.7</v>
      </c>
      <c r="AFC20">
        <v>314</v>
      </c>
      <c r="AFD20">
        <v>0</v>
      </c>
      <c r="AFE20">
        <v>0</v>
      </c>
      <c r="AFF20">
        <v>26.4</v>
      </c>
      <c r="AFG20">
        <v>-66</v>
      </c>
      <c r="AFH20">
        <v>439.1</v>
      </c>
      <c r="AFI20">
        <v>91.3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44060.6</v>
      </c>
      <c r="ARS20">
        <v>0</v>
      </c>
      <c r="ART20">
        <v>57</v>
      </c>
      <c r="ARU20">
        <v>2633.9</v>
      </c>
      <c r="ARV20">
        <v>140.9</v>
      </c>
      <c r="ARW20">
        <v>376</v>
      </c>
      <c r="ARX20">
        <v>383.6</v>
      </c>
      <c r="ARY20">
        <v>0</v>
      </c>
      <c r="ARZ20">
        <v>5312.9</v>
      </c>
      <c r="ASA20">
        <v>2691.1</v>
      </c>
      <c r="ASB20">
        <v>2889.2</v>
      </c>
      <c r="ASC20">
        <v>5370</v>
      </c>
      <c r="ASD20">
        <v>821.8</v>
      </c>
      <c r="ASE20">
        <v>901.9</v>
      </c>
      <c r="ASF20">
        <v>0</v>
      </c>
      <c r="ASG20">
        <v>0</v>
      </c>
      <c r="ASH20">
        <v>63.2</v>
      </c>
      <c r="ASI20">
        <v>-57</v>
      </c>
      <c r="ASJ20">
        <v>-8615.6</v>
      </c>
      <c r="ASK20">
        <v>116.2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236.6</v>
      </c>
      <c r="BEW20">
        <v>17248.6</v>
      </c>
      <c r="BEX20">
        <v>69</v>
      </c>
      <c r="BEY20">
        <v>494</v>
      </c>
      <c r="BEZ20">
        <v>1.9</v>
      </c>
      <c r="BFA20">
        <v>486.3</v>
      </c>
      <c r="BFB20">
        <v>3525.6</v>
      </c>
      <c r="BFC20">
        <v>877.1</v>
      </c>
      <c r="BFD20">
        <v>1113.9</v>
      </c>
      <c r="BFE20">
        <v>2936.1</v>
      </c>
      <c r="BFF20">
        <v>7</v>
      </c>
      <c r="BFG20">
        <v>72.7</v>
      </c>
      <c r="BFH20">
        <v>0</v>
      </c>
      <c r="BFI20">
        <v>0</v>
      </c>
      <c r="BFJ20">
        <v>3047.1</v>
      </c>
      <c r="BFK20">
        <v>0</v>
      </c>
      <c r="BFL20">
        <v>4592.1</v>
      </c>
      <c r="BFM20">
        <v>168.3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8534</v>
      </c>
      <c r="EN21">
        <v>4257.4</v>
      </c>
      <c r="EO21">
        <v>9065.2</v>
      </c>
      <c r="EP21">
        <v>309.3</v>
      </c>
      <c r="EQ21">
        <v>4468.2</v>
      </c>
      <c r="ER21">
        <v>760.3</v>
      </c>
      <c r="ES21">
        <v>24.2</v>
      </c>
      <c r="ET21">
        <v>1426.6</v>
      </c>
      <c r="EU21">
        <v>250</v>
      </c>
      <c r="EV21">
        <v>3431.7</v>
      </c>
      <c r="EW21">
        <v>13394.7</v>
      </c>
      <c r="EX21">
        <v>3442.6</v>
      </c>
      <c r="EY21">
        <v>67.6</v>
      </c>
      <c r="EZ21">
        <v>0</v>
      </c>
      <c r="FA21">
        <v>77.4</v>
      </c>
      <c r="FB21">
        <v>222.7</v>
      </c>
      <c r="FC21">
        <v>-91.8</v>
      </c>
      <c r="FD21">
        <v>3233.3</v>
      </c>
      <c r="FE21">
        <v>150.6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5932.8</v>
      </c>
      <c r="RO21">
        <v>0</v>
      </c>
      <c r="RP21">
        <v>32.6</v>
      </c>
      <c r="RQ21">
        <v>8071</v>
      </c>
      <c r="RR21">
        <v>23.3</v>
      </c>
      <c r="RS21">
        <v>420</v>
      </c>
      <c r="RT21">
        <v>192.8</v>
      </c>
      <c r="RU21">
        <v>0</v>
      </c>
      <c r="RV21">
        <v>1266.9</v>
      </c>
      <c r="RW21">
        <v>4842.6</v>
      </c>
      <c r="RX21">
        <v>3060.6</v>
      </c>
      <c r="RY21">
        <v>8282</v>
      </c>
      <c r="RZ21">
        <v>0</v>
      </c>
      <c r="SA21">
        <v>701</v>
      </c>
      <c r="SB21">
        <v>0</v>
      </c>
      <c r="SC21">
        <v>69</v>
      </c>
      <c r="SD21">
        <v>22.5</v>
      </c>
      <c r="SE21">
        <v>-65.5</v>
      </c>
      <c r="SF21">
        <v>389.2</v>
      </c>
      <c r="SG21">
        <v>112.6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1144.5</v>
      </c>
      <c r="AET21">
        <v>0</v>
      </c>
      <c r="AEU21">
        <v>294.5</v>
      </c>
      <c r="AEV21">
        <v>0</v>
      </c>
      <c r="AEW21">
        <v>0</v>
      </c>
      <c r="AEX21">
        <v>1542.5</v>
      </c>
      <c r="AEY21">
        <v>814.8</v>
      </c>
      <c r="AEZ21">
        <v>2334.8</v>
      </c>
      <c r="AFA21">
        <v>1626.9</v>
      </c>
      <c r="AFB21">
        <v>10.7</v>
      </c>
      <c r="AFC21">
        <v>47.6</v>
      </c>
      <c r="AFD21">
        <v>0</v>
      </c>
      <c r="AFE21">
        <v>0</v>
      </c>
      <c r="AFF21">
        <v>26.3</v>
      </c>
      <c r="AFG21">
        <v>-19.8</v>
      </c>
      <c r="AFH21">
        <v>-161</v>
      </c>
      <c r="AFI21">
        <v>108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44244.1</v>
      </c>
      <c r="ARS21">
        <v>0</v>
      </c>
      <c r="ART21">
        <v>54.8</v>
      </c>
      <c r="ARU21">
        <v>2596.5</v>
      </c>
      <c r="ARV21">
        <v>129.1</v>
      </c>
      <c r="ARW21">
        <v>376.1</v>
      </c>
      <c r="ARX21">
        <v>384.5</v>
      </c>
      <c r="ARY21">
        <v>0</v>
      </c>
      <c r="ARZ21">
        <v>5323.7</v>
      </c>
      <c r="ASA21">
        <v>2552.8</v>
      </c>
      <c r="ASB21">
        <v>2609.5</v>
      </c>
      <c r="ASC21">
        <v>5586.7</v>
      </c>
      <c r="ASD21">
        <v>830.1</v>
      </c>
      <c r="ASE21">
        <v>236.6</v>
      </c>
      <c r="ASF21">
        <v>0</v>
      </c>
      <c r="ASG21">
        <v>0</v>
      </c>
      <c r="ASH21">
        <v>75.3</v>
      </c>
      <c r="ASI21">
        <v>-56.6</v>
      </c>
      <c r="ASJ21">
        <v>-9663.8</v>
      </c>
      <c r="ASK21">
        <v>109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236.6</v>
      </c>
      <c r="BEW21">
        <v>16990.1</v>
      </c>
      <c r="BEX21">
        <v>68.6</v>
      </c>
      <c r="BEY21">
        <v>499.7</v>
      </c>
      <c r="BEZ21">
        <v>2</v>
      </c>
      <c r="BFA21">
        <v>486.5</v>
      </c>
      <c r="BFB21">
        <v>3333.4</v>
      </c>
      <c r="BFC21">
        <v>740.9</v>
      </c>
      <c r="BFD21">
        <v>761.9</v>
      </c>
      <c r="BFE21">
        <v>2888.5</v>
      </c>
      <c r="BFF21">
        <v>6.8</v>
      </c>
      <c r="BFG21">
        <v>0.6</v>
      </c>
      <c r="BFH21">
        <v>0</v>
      </c>
      <c r="BFI21">
        <v>0</v>
      </c>
      <c r="BFJ21">
        <v>2730</v>
      </c>
      <c r="BFK21">
        <v>0</v>
      </c>
      <c r="BFL21">
        <v>4738.7</v>
      </c>
      <c r="BFM21">
        <v>159.3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8431.9</v>
      </c>
      <c r="EN22">
        <v>4159.8</v>
      </c>
      <c r="EO22">
        <v>8738.8</v>
      </c>
      <c r="EP22">
        <v>299.4</v>
      </c>
      <c r="EQ22">
        <v>4302.2</v>
      </c>
      <c r="ER22">
        <v>757.4</v>
      </c>
      <c r="ES22">
        <v>24.5</v>
      </c>
      <c r="ET22">
        <v>1401.7</v>
      </c>
      <c r="EU22">
        <v>197</v>
      </c>
      <c r="EV22">
        <v>2637.1</v>
      </c>
      <c r="EW22">
        <v>13696.1</v>
      </c>
      <c r="EX22">
        <v>3524.8</v>
      </c>
      <c r="EY22">
        <v>12.2</v>
      </c>
      <c r="EZ22">
        <v>0</v>
      </c>
      <c r="FA22">
        <v>77.6</v>
      </c>
      <c r="FB22">
        <v>220.3</v>
      </c>
      <c r="FC22">
        <v>-184.4</v>
      </c>
      <c r="FD22">
        <v>2255.3</v>
      </c>
      <c r="FE22">
        <v>133.6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5928.6</v>
      </c>
      <c r="RO22">
        <v>0</v>
      </c>
      <c r="RP22">
        <v>32.5</v>
      </c>
      <c r="RQ22">
        <v>7597.7</v>
      </c>
      <c r="RR22">
        <v>23.2</v>
      </c>
      <c r="RS22">
        <v>420</v>
      </c>
      <c r="RT22">
        <v>192.8</v>
      </c>
      <c r="RU22">
        <v>0</v>
      </c>
      <c r="RV22">
        <v>1269.7</v>
      </c>
      <c r="RW22">
        <v>4709</v>
      </c>
      <c r="RX22">
        <v>2925</v>
      </c>
      <c r="RY22">
        <v>8348.6</v>
      </c>
      <c r="RZ22">
        <v>0</v>
      </c>
      <c r="SA22">
        <v>392</v>
      </c>
      <c r="SB22">
        <v>0</v>
      </c>
      <c r="SC22">
        <v>68.8</v>
      </c>
      <c r="SD22">
        <v>19.8</v>
      </c>
      <c r="SE22">
        <v>-68</v>
      </c>
      <c r="SF22">
        <v>480.1</v>
      </c>
      <c r="SG22">
        <v>105.7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1127.3</v>
      </c>
      <c r="AET22">
        <v>0</v>
      </c>
      <c r="AEU22">
        <v>295.2</v>
      </c>
      <c r="AEV22">
        <v>0</v>
      </c>
      <c r="AEW22">
        <v>0</v>
      </c>
      <c r="AEX22">
        <v>1547.3</v>
      </c>
      <c r="AEY22">
        <v>762.5</v>
      </c>
      <c r="AEZ22">
        <v>2195</v>
      </c>
      <c r="AFA22">
        <v>1655</v>
      </c>
      <c r="AFB22">
        <v>10.6</v>
      </c>
      <c r="AFC22">
        <v>9</v>
      </c>
      <c r="AFD22">
        <v>0</v>
      </c>
      <c r="AFE22">
        <v>0</v>
      </c>
      <c r="AFF22">
        <v>26.3</v>
      </c>
      <c r="AFG22">
        <v>-24.2</v>
      </c>
      <c r="AFH22">
        <v>-124.1</v>
      </c>
      <c r="AFI22">
        <v>102.6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44300.4</v>
      </c>
      <c r="ARS22">
        <v>0</v>
      </c>
      <c r="ART22">
        <v>53.7</v>
      </c>
      <c r="ARU22">
        <v>2445.4</v>
      </c>
      <c r="ARV22">
        <v>100.6</v>
      </c>
      <c r="ARW22">
        <v>375.2</v>
      </c>
      <c r="ARX22">
        <v>385.4</v>
      </c>
      <c r="ARY22">
        <v>0</v>
      </c>
      <c r="ARZ22">
        <v>5201.2</v>
      </c>
      <c r="ASA22">
        <v>2367.2</v>
      </c>
      <c r="ASB22">
        <v>2231</v>
      </c>
      <c r="ASC22">
        <v>5821.6</v>
      </c>
      <c r="ASD22">
        <v>844.4</v>
      </c>
      <c r="ASE22">
        <v>86.6</v>
      </c>
      <c r="ASF22">
        <v>0</v>
      </c>
      <c r="ASG22">
        <v>0</v>
      </c>
      <c r="ASH22">
        <v>75.3</v>
      </c>
      <c r="ASI22">
        <v>-123.3</v>
      </c>
      <c r="ASJ22">
        <v>-9658.7</v>
      </c>
      <c r="ASK22">
        <v>103.2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233.2</v>
      </c>
      <c r="BEW22">
        <v>16010.9</v>
      </c>
      <c r="BEX22">
        <v>66</v>
      </c>
      <c r="BEY22">
        <v>501.9</v>
      </c>
      <c r="BEZ22">
        <v>2</v>
      </c>
      <c r="BFA22">
        <v>486.8</v>
      </c>
      <c r="BFB22">
        <v>3023.3</v>
      </c>
      <c r="BFC22">
        <v>551.5</v>
      </c>
      <c r="BFD22">
        <v>427.9</v>
      </c>
      <c r="BFE22">
        <v>2864.2</v>
      </c>
      <c r="BFF22">
        <v>6.1</v>
      </c>
      <c r="BFG22">
        <v>0</v>
      </c>
      <c r="BFH22">
        <v>0</v>
      </c>
      <c r="BFI22">
        <v>0</v>
      </c>
      <c r="BFJ22">
        <v>2071.2</v>
      </c>
      <c r="BFK22">
        <v>0</v>
      </c>
      <c r="BFL22">
        <v>4877.8</v>
      </c>
      <c r="BFM22">
        <v>150.4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8338.3</v>
      </c>
      <c r="EN23">
        <v>4044.2</v>
      </c>
      <c r="EO23">
        <v>8307.7</v>
      </c>
      <c r="EP23">
        <v>295</v>
      </c>
      <c r="EQ23">
        <v>4130.8</v>
      </c>
      <c r="ER23">
        <v>758.2</v>
      </c>
      <c r="ES23">
        <v>24.7</v>
      </c>
      <c r="ET23">
        <v>1382.8</v>
      </c>
      <c r="EU23">
        <v>142.3</v>
      </c>
      <c r="EV23">
        <v>1598</v>
      </c>
      <c r="EW23">
        <v>13690.5</v>
      </c>
      <c r="EX23">
        <v>3530.9</v>
      </c>
      <c r="EY23">
        <v>9.5</v>
      </c>
      <c r="EZ23">
        <v>0</v>
      </c>
      <c r="FA23">
        <v>77.6</v>
      </c>
      <c r="FB23">
        <v>217.4</v>
      </c>
      <c r="FC23">
        <v>-284.5</v>
      </c>
      <c r="FD23">
        <v>1625.4</v>
      </c>
      <c r="FE23">
        <v>120.5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5938.8</v>
      </c>
      <c r="RO23">
        <v>0</v>
      </c>
      <c r="RP23">
        <v>31.9</v>
      </c>
      <c r="RQ23">
        <v>6848.4</v>
      </c>
      <c r="RR23">
        <v>22.7</v>
      </c>
      <c r="RS23">
        <v>419</v>
      </c>
      <c r="RT23">
        <v>193.2</v>
      </c>
      <c r="RU23">
        <v>0</v>
      </c>
      <c r="RV23">
        <v>1236</v>
      </c>
      <c r="RW23">
        <v>4141.6</v>
      </c>
      <c r="RX23">
        <v>2516.8</v>
      </c>
      <c r="RY23">
        <v>8218.1</v>
      </c>
      <c r="RZ23">
        <v>0</v>
      </c>
      <c r="SA23">
        <v>365.8</v>
      </c>
      <c r="SB23">
        <v>0</v>
      </c>
      <c r="SC23">
        <v>68.6</v>
      </c>
      <c r="SD23">
        <v>13.4</v>
      </c>
      <c r="SE23">
        <v>-107.5</v>
      </c>
      <c r="SF23">
        <v>-75.2</v>
      </c>
      <c r="SG23">
        <v>91.1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1096.1</v>
      </c>
      <c r="AET23">
        <v>0</v>
      </c>
      <c r="AEU23">
        <v>296.2</v>
      </c>
      <c r="AEV23">
        <v>0</v>
      </c>
      <c r="AEW23">
        <v>0</v>
      </c>
      <c r="AEX23">
        <v>1400.2</v>
      </c>
      <c r="AEY23">
        <v>596.2</v>
      </c>
      <c r="AEZ23">
        <v>1802.3</v>
      </c>
      <c r="AFA23">
        <v>1653.4</v>
      </c>
      <c r="AFB23">
        <v>10.3</v>
      </c>
      <c r="AFC23">
        <v>8.5</v>
      </c>
      <c r="AFD23">
        <v>0</v>
      </c>
      <c r="AFE23">
        <v>0</v>
      </c>
      <c r="AFF23">
        <v>26.4</v>
      </c>
      <c r="AFG23">
        <v>-45</v>
      </c>
      <c r="AFH23">
        <v>173</v>
      </c>
      <c r="AFI23">
        <v>89.8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44303</v>
      </c>
      <c r="ARS23">
        <v>0</v>
      </c>
      <c r="ART23">
        <v>54.1</v>
      </c>
      <c r="ARU23">
        <v>2319.7</v>
      </c>
      <c r="ARV23">
        <v>77</v>
      </c>
      <c r="ARW23">
        <v>375.5</v>
      </c>
      <c r="ARX23">
        <v>386.3</v>
      </c>
      <c r="ARY23">
        <v>0</v>
      </c>
      <c r="ARZ23">
        <v>5058.8</v>
      </c>
      <c r="ASA23">
        <v>2194.5</v>
      </c>
      <c r="ASB23">
        <v>1915.2</v>
      </c>
      <c r="ASC23">
        <v>5913.8</v>
      </c>
      <c r="ASD23">
        <v>851</v>
      </c>
      <c r="ASE23">
        <v>58.1</v>
      </c>
      <c r="ASF23">
        <v>0</v>
      </c>
      <c r="ASG23">
        <v>0</v>
      </c>
      <c r="ASH23">
        <v>32</v>
      </c>
      <c r="ASI23">
        <v>-192.2</v>
      </c>
      <c r="ASJ23">
        <v>-9056.4</v>
      </c>
      <c r="ASK23">
        <v>95.5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224.9</v>
      </c>
      <c r="BEW23">
        <v>14487.6</v>
      </c>
      <c r="BEX23">
        <v>62.5</v>
      </c>
      <c r="BEY23">
        <v>501.7</v>
      </c>
      <c r="BEZ23">
        <v>2</v>
      </c>
      <c r="BFA23">
        <v>487.7</v>
      </c>
      <c r="BFB23">
        <v>2777.3</v>
      </c>
      <c r="BFC23">
        <v>406.3</v>
      </c>
      <c r="BFD23">
        <v>159.8</v>
      </c>
      <c r="BFE23">
        <v>2836.3</v>
      </c>
      <c r="BFF23">
        <v>5.9</v>
      </c>
      <c r="BFG23">
        <v>0</v>
      </c>
      <c r="BFH23">
        <v>0</v>
      </c>
      <c r="BFI23">
        <v>0</v>
      </c>
      <c r="BFJ23">
        <v>1830.6</v>
      </c>
      <c r="BFK23">
        <v>-0.3</v>
      </c>
      <c r="BFL23">
        <v>4789.7</v>
      </c>
      <c r="BFM23">
        <v>140.1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3921</v>
      </c>
      <c r="EO24">
        <v>7797.3</v>
      </c>
      <c r="EP24">
        <v>293</v>
      </c>
      <c r="EQ24">
        <v>3973.5</v>
      </c>
      <c r="ER24">
        <v>753.6</v>
      </c>
      <c r="ES24">
        <v>24.9</v>
      </c>
      <c r="ET24">
        <v>1369.2</v>
      </c>
      <c r="EU24">
        <v>105.1</v>
      </c>
      <c r="EV24">
        <v>845</v>
      </c>
      <c r="EW24">
        <v>13689.9</v>
      </c>
      <c r="EX24">
        <v>3540.2</v>
      </c>
      <c r="EY24">
        <v>8.9</v>
      </c>
      <c r="EZ24">
        <v>0</v>
      </c>
      <c r="FA24">
        <v>77.7</v>
      </c>
      <c r="FB24">
        <v>215.7</v>
      </c>
      <c r="FC24">
        <v>-572.9</v>
      </c>
      <c r="FD24">
        <v>1130.9</v>
      </c>
      <c r="FE24">
        <v>112.2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5931.9</v>
      </c>
      <c r="RO24">
        <v>0</v>
      </c>
      <c r="RP24">
        <v>30.8</v>
      </c>
      <c r="RQ24">
        <v>6204.6</v>
      </c>
      <c r="RR24">
        <v>21.9</v>
      </c>
      <c r="RS24">
        <v>416.1</v>
      </c>
      <c r="RT24">
        <v>192.6</v>
      </c>
      <c r="RU24">
        <v>0</v>
      </c>
      <c r="RV24">
        <v>1186.9</v>
      </c>
      <c r="RW24">
        <v>3580.5</v>
      </c>
      <c r="RX24">
        <v>1993.7</v>
      </c>
      <c r="RY24">
        <v>7946</v>
      </c>
      <c r="RZ24">
        <v>0</v>
      </c>
      <c r="SA24">
        <v>341.1</v>
      </c>
      <c r="SB24">
        <v>0</v>
      </c>
      <c r="SC24">
        <v>68</v>
      </c>
      <c r="SD24">
        <v>9.1</v>
      </c>
      <c r="SE24">
        <v>-186.4</v>
      </c>
      <c r="SF24">
        <v>-435.6</v>
      </c>
      <c r="SG24">
        <v>82.9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905.6</v>
      </c>
      <c r="AET24">
        <v>0</v>
      </c>
      <c r="AEU24">
        <v>296</v>
      </c>
      <c r="AEV24">
        <v>0</v>
      </c>
      <c r="AEW24">
        <v>0</v>
      </c>
      <c r="AEX24">
        <v>1196</v>
      </c>
      <c r="AEY24">
        <v>512.7</v>
      </c>
      <c r="AEZ24">
        <v>1425.9</v>
      </c>
      <c r="AFA24">
        <v>1646.4</v>
      </c>
      <c r="AFB24">
        <v>10</v>
      </c>
      <c r="AFC24">
        <v>8.3</v>
      </c>
      <c r="AFD24">
        <v>0</v>
      </c>
      <c r="AFE24">
        <v>0</v>
      </c>
      <c r="AFF24">
        <v>26.4</v>
      </c>
      <c r="AFG24">
        <v>-76.2</v>
      </c>
      <c r="AFH24">
        <v>503.2</v>
      </c>
      <c r="AFI24">
        <v>82.6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44219.7</v>
      </c>
      <c r="ARS24">
        <v>0</v>
      </c>
      <c r="ART24">
        <v>51.6</v>
      </c>
      <c r="ARU24">
        <v>2141.3</v>
      </c>
      <c r="ARV24">
        <v>64.7</v>
      </c>
      <c r="ARW24">
        <v>375.3</v>
      </c>
      <c r="ARX24">
        <v>387</v>
      </c>
      <c r="ARY24">
        <v>0</v>
      </c>
      <c r="ARZ24">
        <v>4826.6</v>
      </c>
      <c r="ASA24">
        <v>1944.6</v>
      </c>
      <c r="ASB24">
        <v>1342.5</v>
      </c>
      <c r="ASC24">
        <v>5899.7</v>
      </c>
      <c r="ASD24">
        <v>832</v>
      </c>
      <c r="ASE24">
        <v>0</v>
      </c>
      <c r="ASF24">
        <v>0</v>
      </c>
      <c r="ASG24">
        <v>0</v>
      </c>
      <c r="ASH24">
        <v>24</v>
      </c>
      <c r="ASI24">
        <v>-311.8</v>
      </c>
      <c r="ASJ24">
        <v>-8956.5</v>
      </c>
      <c r="ASK24">
        <v>84.8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227.5</v>
      </c>
      <c r="BEW24">
        <v>12458.4</v>
      </c>
      <c r="BEX24">
        <v>57.8</v>
      </c>
      <c r="BEY24">
        <v>498.5</v>
      </c>
      <c r="BEZ24">
        <v>1.9</v>
      </c>
      <c r="BFA24">
        <v>487.8</v>
      </c>
      <c r="BFB24">
        <v>2625.1</v>
      </c>
      <c r="BFC24">
        <v>345.3</v>
      </c>
      <c r="BFD24">
        <v>93.1</v>
      </c>
      <c r="BFE24">
        <v>2846</v>
      </c>
      <c r="BFF24">
        <v>6.1</v>
      </c>
      <c r="BFG24">
        <v>0</v>
      </c>
      <c r="BFH24">
        <v>0</v>
      </c>
      <c r="BFI24">
        <v>0</v>
      </c>
      <c r="BFJ24">
        <v>1833.8</v>
      </c>
      <c r="BFK24">
        <v>-0.8</v>
      </c>
      <c r="BFL24">
        <v>4854</v>
      </c>
      <c r="BFM24">
        <v>137.2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8033.3</v>
      </c>
      <c r="EN25">
        <v>3808.4</v>
      </c>
      <c r="EO25">
        <v>7449.8</v>
      </c>
      <c r="EP25">
        <v>291.1</v>
      </c>
      <c r="EQ25">
        <v>3894.4</v>
      </c>
      <c r="ER25">
        <v>753.3</v>
      </c>
      <c r="ES25">
        <v>25</v>
      </c>
      <c r="ET25">
        <v>1362.6</v>
      </c>
      <c r="EU25">
        <v>80.6</v>
      </c>
      <c r="EV25">
        <v>434</v>
      </c>
      <c r="EW25">
        <v>13524.3</v>
      </c>
      <c r="EX25">
        <v>3550.9</v>
      </c>
      <c r="EY25">
        <v>8.1</v>
      </c>
      <c r="EZ25">
        <v>0</v>
      </c>
      <c r="FA25">
        <v>77.6</v>
      </c>
      <c r="FB25">
        <v>214.3</v>
      </c>
      <c r="FC25">
        <v>-853.4</v>
      </c>
      <c r="FD25">
        <v>816</v>
      </c>
      <c r="FE25">
        <v>107.2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5931.6</v>
      </c>
      <c r="RO25">
        <v>0</v>
      </c>
      <c r="RP25">
        <v>28.6</v>
      </c>
      <c r="RQ25">
        <v>5589.3</v>
      </c>
      <c r="RR25">
        <v>20.9</v>
      </c>
      <c r="RS25">
        <v>415.5</v>
      </c>
      <c r="RT25">
        <v>192</v>
      </c>
      <c r="RU25">
        <v>0</v>
      </c>
      <c r="RV25">
        <v>1149.4</v>
      </c>
      <c r="RW25">
        <v>3137</v>
      </c>
      <c r="RX25">
        <v>1574.6</v>
      </c>
      <c r="RY25">
        <v>7603.2</v>
      </c>
      <c r="RZ25">
        <v>0</v>
      </c>
      <c r="SA25">
        <v>315</v>
      </c>
      <c r="SB25">
        <v>0</v>
      </c>
      <c r="SC25">
        <v>67</v>
      </c>
      <c r="SD25">
        <v>8.8</v>
      </c>
      <c r="SE25">
        <v>-343.1</v>
      </c>
      <c r="SF25">
        <v>-357.9</v>
      </c>
      <c r="SG25">
        <v>76.9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811.7</v>
      </c>
      <c r="AET25">
        <v>0</v>
      </c>
      <c r="AEU25">
        <v>295.1</v>
      </c>
      <c r="AEV25">
        <v>0</v>
      </c>
      <c r="AEW25">
        <v>0</v>
      </c>
      <c r="AEX25">
        <v>1107.3</v>
      </c>
      <c r="AEY25">
        <v>461.8</v>
      </c>
      <c r="AEZ25">
        <v>1201</v>
      </c>
      <c r="AFA25">
        <v>1637.1</v>
      </c>
      <c r="AFB25">
        <v>9.4</v>
      </c>
      <c r="AFC25">
        <v>8.3</v>
      </c>
      <c r="AFD25">
        <v>0</v>
      </c>
      <c r="AFE25">
        <v>0</v>
      </c>
      <c r="AFF25">
        <v>26.3</v>
      </c>
      <c r="AFG25">
        <v>-109.7</v>
      </c>
      <c r="AFH25">
        <v>552.6</v>
      </c>
      <c r="AFI25">
        <v>76.7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44002</v>
      </c>
      <c r="ARS25">
        <v>0</v>
      </c>
      <c r="ART25">
        <v>43.4</v>
      </c>
      <c r="ARU25">
        <v>1878.8</v>
      </c>
      <c r="ARV25">
        <v>53</v>
      </c>
      <c r="ARW25">
        <v>376</v>
      </c>
      <c r="ARX25">
        <v>387.5</v>
      </c>
      <c r="ARY25">
        <v>0</v>
      </c>
      <c r="ARZ25">
        <v>4632.1</v>
      </c>
      <c r="ASA25">
        <v>1706.2</v>
      </c>
      <c r="ASB25">
        <v>930.9</v>
      </c>
      <c r="ASC25">
        <v>5838.4</v>
      </c>
      <c r="ASD25">
        <v>809.1</v>
      </c>
      <c r="ASE25">
        <v>0</v>
      </c>
      <c r="ASF25">
        <v>0</v>
      </c>
      <c r="ASG25">
        <v>0</v>
      </c>
      <c r="ASH25">
        <v>21.7</v>
      </c>
      <c r="ASI25">
        <v>-520.8</v>
      </c>
      <c r="ASJ25">
        <v>-9125.5</v>
      </c>
      <c r="ASK25">
        <v>79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218.9</v>
      </c>
      <c r="BEW25">
        <v>10936.4</v>
      </c>
      <c r="BEX25">
        <v>55</v>
      </c>
      <c r="BEY25">
        <v>499.4</v>
      </c>
      <c r="BEZ25">
        <v>1.8</v>
      </c>
      <c r="BFA25">
        <v>490.9</v>
      </c>
      <c r="BFB25">
        <v>2506</v>
      </c>
      <c r="BFC25">
        <v>303.5</v>
      </c>
      <c r="BFD25">
        <v>78.6</v>
      </c>
      <c r="BFE25">
        <v>2838.7</v>
      </c>
      <c r="BFF25">
        <v>6.4</v>
      </c>
      <c r="BFG25">
        <v>0</v>
      </c>
      <c r="BFH25">
        <v>0</v>
      </c>
      <c r="BFI25">
        <v>0</v>
      </c>
      <c r="BFJ25">
        <v>1797.5</v>
      </c>
      <c r="BFK25">
        <v>-20.6</v>
      </c>
      <c r="BFL25">
        <v>4948.2</v>
      </c>
      <c r="BFM25">
        <v>132.9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103.48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71.96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71.87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71.76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128.64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101.48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69.21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69.07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64.81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126.74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101.6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67.28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67.13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60.37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126.15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104.42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68.22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68.08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62.9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127.83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112.73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73.28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73.07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71.28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136.54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117.11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77.59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76.83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81.72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145.05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113.14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70.9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68.02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85.18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145.58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96.46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51.37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48.75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71.23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138.03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76.39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32.56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32.95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52.32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123.34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59.78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22.14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24.49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37.66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110.5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45.99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17.81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20.03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29.26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98.35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35.91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15.75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17.92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21.78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93.03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36.3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15.72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17.15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20.33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95.71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48.37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15.96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17.13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25.69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102.19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68.36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18.26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19.11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32.71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115.19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95.89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23.71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24.17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44.84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133.1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126.67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35.9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35.58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68.41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150.42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153.21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64.18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61.4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101.4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164.36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164.23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96.64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91.3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116.21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168.33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150.6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112.58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108.03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108.99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159.28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133.58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105.68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102.6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103.22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150.43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120.52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91.13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89.76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95.46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140.09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112.22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82.87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82.56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84.83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137.17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107.2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76.89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76.73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78.99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132.88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49.95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29.56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28.7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32.87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108.27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88.36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52.7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45.96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61.52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127.67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94.76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45.11</v>
      </c>
      <c r="BE4">
        <v>72.43</v>
      </c>
      <c r="BF4">
        <v>53.45</v>
      </c>
      <c r="BG4">
        <v>54.69</v>
      </c>
      <c r="BH4">
        <v>62.67</v>
      </c>
      <c r="BU4">
        <v>351.72</v>
      </c>
      <c r="BV4">
        <v>127.09</v>
      </c>
      <c r="BW4">
        <v>101.85</v>
      </c>
      <c r="BX4">
        <v>112.27</v>
      </c>
      <c r="BY4">
        <v>125.43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149.38</v>
      </c>
      <c r="V5">
        <v>88.63</v>
      </c>
      <c r="W5">
        <v>106.68</v>
      </c>
      <c r="X5">
        <v>80.42</v>
      </c>
      <c r="Y5">
        <v>92.65</v>
      </c>
      <c r="Z5">
        <v>91.16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81.79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99.29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160.49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130.99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67.33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71.69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85.72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146.68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100.23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55.9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66.15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68.11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134.77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102.25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62.34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57.48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63.82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132.29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115.17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79.28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56.34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98.83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142.8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114.83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117.42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136.48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58.99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69.15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49.95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29.56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28.7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32.87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108.27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88.36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52.7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45.96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61.52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127.67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100.23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55.9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66.15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68.11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134.77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130.99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67.33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71.69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85.72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146.68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149.38</v>
      </c>
      <c r="V17">
        <v>88.63</v>
      </c>
      <c r="W17">
        <v>106.68</v>
      </c>
      <c r="X17">
        <v>80.42</v>
      </c>
      <c r="Y17">
        <v>92.65</v>
      </c>
      <c r="Z17">
        <v>91.16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81.79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99.29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160.49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102.25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62.34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57.48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63.82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132.29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115.17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79.28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56.34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98.83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142.8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101.65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67.06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91.69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144.37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100.54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62.54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66.1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100.39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130.85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99.41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59.13</v>
      </c>
      <c r="BW24">
        <v>138.7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103.51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67.5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56.9</v>
      </c>
      <c r="BG25">
        <v>55.34</v>
      </c>
      <c r="BH25">
        <v>88.1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134.82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71.82</v>
      </c>
      <c r="U91">
        <v>99.07</v>
      </c>
      <c r="V91">
        <v>88.98</v>
      </c>
      <c r="W91">
        <v>87.23</v>
      </c>
      <c r="X91">
        <v>71.78</v>
      </c>
      <c r="Y91">
        <v>70.09</v>
      </c>
      <c r="AA91">
        <v>74.57</v>
      </c>
      <c r="AB91">
        <v>100.88</v>
      </c>
      <c r="AC91">
        <v>112.59</v>
      </c>
      <c r="AD91">
        <v>78.28</v>
      </c>
      <c r="AF91">
        <v>32.01</v>
      </c>
      <c r="AH91">
        <v>71.65</v>
      </c>
      <c r="AI91">
        <v>74.62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132.77</v>
      </c>
      <c r="BU91">
        <v>147.53</v>
      </c>
      <c r="BV91">
        <v>142.63</v>
      </c>
      <c r="BW91">
        <v>132.37</v>
      </c>
      <c r="BY91">
        <v>132.38</v>
      </c>
      <c r="BZ91">
        <v>136.75</v>
      </c>
      <c r="CA91">
        <v>151.07</v>
      </c>
      <c r="CB91">
        <v>167.83</v>
      </c>
      <c r="CC91">
        <v>128.97</v>
      </c>
      <c r="CD91">
        <v>125.09</v>
      </c>
      <c r="CE91">
        <v>109.5</v>
      </c>
      <c r="CH91">
        <v>137.24</v>
      </c>
    </row>
    <row r="92">
      <c r="A92" t="inlineStr">
        <is>
          <t xml:space="preserve">2026-07</t>
        </is>
      </c>
      <c r="C92">
        <v>123.7</v>
      </c>
      <c r="D92">
        <v>132.14</v>
      </c>
      <c r="E92">
        <v>124.51</v>
      </c>
      <c r="F92">
        <v>103.89</v>
      </c>
      <c r="G92">
        <v>105.33</v>
      </c>
      <c r="H92">
        <v>104.24</v>
      </c>
      <c r="I92">
        <v>103.37</v>
      </c>
      <c r="J92">
        <v>102.22</v>
      </c>
      <c r="K92">
        <v>126.57</v>
      </c>
      <c r="L92">
        <v>156.04</v>
      </c>
      <c r="M92">
        <v>92.38</v>
      </c>
      <c r="N92">
        <v>99.85</v>
      </c>
      <c r="O92">
        <v>52.96</v>
      </c>
      <c r="Q92">
        <v>103.01</v>
      </c>
      <c r="R92">
        <v>103.32</v>
      </c>
      <c r="S92">
        <v>101.93</v>
      </c>
      <c r="U92">
        <v>136.6</v>
      </c>
      <c r="V92">
        <v>129.61</v>
      </c>
      <c r="W92">
        <v>116.18</v>
      </c>
      <c r="X92">
        <v>108.2</v>
      </c>
      <c r="Y92">
        <v>103.89</v>
      </c>
      <c r="AA92">
        <v>108.27</v>
      </c>
      <c r="AB92">
        <v>138.79</v>
      </c>
      <c r="AC92">
        <v>145.26</v>
      </c>
      <c r="AD92">
        <v>106.56</v>
      </c>
      <c r="AF92">
        <v>57.05</v>
      </c>
      <c r="AH92">
        <v>105.55</v>
      </c>
      <c r="AI92">
        <v>108.06</v>
      </c>
      <c r="AM92">
        <v>115.41</v>
      </c>
      <c r="AO92">
        <v>105.98</v>
      </c>
      <c r="AR92">
        <v>143.06</v>
      </c>
      <c r="AS92">
        <v>153.05</v>
      </c>
      <c r="AT92">
        <v>154.14</v>
      </c>
      <c r="AU92">
        <v>97.84</v>
      </c>
      <c r="AV92">
        <v>83.31</v>
      </c>
      <c r="AW92">
        <v>60.36</v>
      </c>
      <c r="AZ92">
        <v>106.28</v>
      </c>
      <c r="BA92">
        <v>94.95</v>
      </c>
      <c r="BD92">
        <v>131.99</v>
      </c>
      <c r="BE92">
        <v>109.68</v>
      </c>
      <c r="BF92">
        <v>93.13</v>
      </c>
      <c r="BG92">
        <v>92.98</v>
      </c>
      <c r="BI92">
        <v>98.84</v>
      </c>
      <c r="BJ92">
        <v>120.01</v>
      </c>
      <c r="BK92">
        <v>139.18</v>
      </c>
      <c r="BL92">
        <v>102.72</v>
      </c>
      <c r="BM92">
        <v>107.46</v>
      </c>
      <c r="BN92">
        <v>46.32</v>
      </c>
      <c r="BQ92">
        <v>121.02</v>
      </c>
      <c r="BT92">
        <v>160.71</v>
      </c>
      <c r="BU92">
        <v>163.79</v>
      </c>
      <c r="BV92">
        <v>158.08</v>
      </c>
      <c r="BW92">
        <v>157.08</v>
      </c>
      <c r="BY92">
        <v>155.56</v>
      </c>
      <c r="BZ92">
        <v>158.79</v>
      </c>
      <c r="CA92">
        <v>169.6</v>
      </c>
      <c r="CB92">
        <v>185.56</v>
      </c>
      <c r="CC92">
        <v>150.63</v>
      </c>
      <c r="CD92">
        <v>145.52</v>
      </c>
      <c r="CE92">
        <v>138.25</v>
      </c>
      <c r="CH92">
        <v>159.52</v>
      </c>
    </row>
    <row r="93">
      <c r="A93" t="inlineStr">
        <is>
          <t xml:space="preserve">2026-08</t>
        </is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</v>
      </c>
      <c r="D2651">
        <v>54</v>
      </c>
      <c r="E2651">
        <v>58.9</v>
      </c>
      <c r="F2651">
        <v>57.2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</v>
      </c>
      <c r="D2661">
        <v>51</v>
      </c>
      <c r="E2661">
        <v>58.9</v>
      </c>
      <c r="F2661">
        <v>32.4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</v>
      </c>
      <c r="D2662">
        <v>54.6</v>
      </c>
      <c r="E2662">
        <v>58.9</v>
      </c>
      <c r="F2662">
        <v>42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</v>
      </c>
      <c r="D2663">
        <v>62</v>
      </c>
      <c r="E2663">
        <v>58.9</v>
      </c>
      <c r="F2663">
        <v>58.8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</v>
      </c>
      <c r="D2668">
        <v>64</v>
      </c>
      <c r="E2668">
        <v>58.9</v>
      </c>
      <c r="F2668">
        <v>56.8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</v>
      </c>
      <c r="D2669">
        <v>53.1</v>
      </c>
      <c r="E2669">
        <v>58.9</v>
      </c>
      <c r="F2669">
        <v>33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79.4</v>
      </c>
      <c r="C2679">
        <v>64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76.9</v>
      </c>
      <c r="C2680">
        <v>64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70.3</v>
      </c>
      <c r="C2681">
        <v>64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65.9</v>
      </c>
      <c r="C2682">
        <v>64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51.8</v>
      </c>
      <c r="C2683">
        <v>64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42.9</v>
      </c>
      <c r="C2684">
        <v>64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44.2</v>
      </c>
      <c r="C2685">
        <v>64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64.2</v>
      </c>
      <c r="C2686">
        <v>64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76.6</v>
      </c>
      <c r="C2687">
        <v>64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72.8</v>
      </c>
      <c r="C2688">
        <v>64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37.9</v>
      </c>
      <c r="C2689">
        <v>64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40.2</v>
      </c>
      <c r="C2690">
        <v>64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45</v>
      </c>
      <c r="C2691">
        <v>64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58.2</v>
      </c>
      <c r="C2692">
        <v>64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58.5</v>
      </c>
      <c r="C2693">
        <v>64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51.2</v>
      </c>
      <c r="C2694">
        <v>64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65.3</v>
      </c>
      <c r="C2695">
        <v>64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58.5</v>
      </c>
      <c r="C2696">
        <v>64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67</v>
      </c>
      <c r="C2697">
        <v>64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45.8</v>
      </c>
      <c r="C2698">
        <v>64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64.7</v>
      </c>
      <c r="C2699">
        <v>64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77.1</v>
      </c>
      <c r="C2700">
        <v>64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82.3</v>
      </c>
      <c r="C2701">
        <v>64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79.7</v>
      </c>
      <c r="C2702">
        <v>64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82.8</v>
      </c>
      <c r="C2703">
        <v>64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72.1</v>
      </c>
      <c r="C2704">
        <v>64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72.5</v>
      </c>
      <c r="C2705">
        <v>64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80</v>
      </c>
      <c r="C2706">
        <v>64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75</v>
      </c>
      <c r="C2707">
        <v>64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65.6</v>
      </c>
      <c r="C2708">
        <v>64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66.6</v>
      </c>
      <c r="C2709">
        <v>64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64.2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50.6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43.9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44.2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57.7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65.1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39.9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40.1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44.5</v>
      </c>
      <c r="H2741">
        <v>25.6</v>
      </c>
      <c r="J2741">
        <v>46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56.4</v>
      </c>
      <c r="H2742">
        <v>26.4</v>
      </c>
      <c r="J2742">
        <v>50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68.3</v>
      </c>
      <c r="H2745">
        <v>30.6</v>
      </c>
      <c r="J2745">
        <v>53.5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61.2</v>
      </c>
      <c r="H2746">
        <v>29</v>
      </c>
      <c r="J2746">
        <v>49.9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67.3</v>
      </c>
      <c r="H2748">
        <v>30.9</v>
      </c>
      <c r="J2748">
        <v>49.1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70.8</v>
      </c>
      <c r="H2749">
        <v>31.4</v>
      </c>
      <c r="J2749">
        <v>51.2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52.1</v>
      </c>
      <c r="H2750">
        <v>32.3</v>
      </c>
      <c r="J2750">
        <v>62.8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64.5</v>
      </c>
      <c r="H2752">
        <v>26.1</v>
      </c>
      <c r="J2752">
        <v>50.8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71.5</v>
      </c>
      <c r="H2753">
        <v>31.8</v>
      </c>
      <c r="J2753">
        <v>47.5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</v>
      </c>
      <c r="H2754">
        <v>26.9</v>
      </c>
      <c r="J2754">
        <v>45.5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61.8</v>
      </c>
      <c r="H2755">
        <v>24.8</v>
      </c>
      <c r="J2755">
        <v>45.7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64.6</v>
      </c>
      <c r="H2756">
        <v>29.1</v>
      </c>
      <c r="J2756">
        <v>45.3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68.8</v>
      </c>
      <c r="H2757">
        <v>33.9</v>
      </c>
      <c r="J2757">
        <v>54.2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70.9</v>
      </c>
      <c r="H2758">
        <v>26</v>
      </c>
      <c r="J2758">
        <v>64.9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73.2</v>
      </c>
      <c r="H2759">
        <v>31</v>
      </c>
      <c r="J2759">
        <v>49.4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72.1</v>
      </c>
      <c r="H2760">
        <v>32.2</v>
      </c>
      <c r="J2760">
        <v>43.8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68.5</v>
      </c>
      <c r="H2761">
        <v>32.8</v>
      </c>
      <c r="J2761">
        <v>52.1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66.6</v>
      </c>
      <c r="H2762">
        <v>32.9</v>
      </c>
      <c r="J2762">
        <v>51.3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54.5</v>
      </c>
      <c r="H2763">
        <v>33</v>
      </c>
      <c r="J2763">
        <v>55.4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42.9</v>
      </c>
      <c r="H2764">
        <v>19.3</v>
      </c>
      <c r="J2764">
        <v>66.9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60.5</v>
      </c>
      <c r="H2765">
        <v>18.8</v>
      </c>
      <c r="J2765">
        <v>60.5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69.2</v>
      </c>
      <c r="H2766">
        <v>24.1</v>
      </c>
      <c r="J2766">
        <v>54.7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>
      <c r="A2768" t="inlineStr">
        <is>
          <t xml:space="preserve">2026-07-29</t>
        </is>
      </c>
      <c r="B2768">
        <v>76.3</v>
      </c>
      <c r="D2768">
        <v>65.4</v>
      </c>
      <c r="F2768">
        <v>69.2</v>
      </c>
      <c r="H2768">
        <v>31</v>
      </c>
      <c r="J2768">
        <v>49.4</v>
      </c>
    </row>
    <row r="2769">
      <c r="A2769" t="inlineStr">
        <is>
          <t xml:space="preserve">2026-07-30</t>
        </is>
      </c>
      <c r="B2769">
        <v>68.6</v>
      </c>
      <c r="D2769">
        <v>63.5</v>
      </c>
      <c r="F2769">
        <v>70.5</v>
      </c>
      <c r="H2769">
        <v>26.6</v>
      </c>
      <c r="J2769">
        <v>48.1</v>
      </c>
    </row>
    <row r="2770">
      <c r="A2770" t="inlineStr">
        <is>
          <t xml:space="preserve">2026-07-31</t>
        </is>
      </c>
    </row>
    <row r="2771">
      <c r="A2771" t="inlineStr">
        <is>
          <t xml:space="preserve">2026-08-01</t>
        </is>
      </c>
    </row>
    <row r="2772">
      <c r="A2772" t="inlineStr">
        <is>
          <t xml:space="preserve">2026-08-02</t>
        </is>
      </c>
    </row>
    <row r="2773">
      <c r="A2773" t="inlineStr">
        <is>
          <t xml:space="preserve">2026-08-03</t>
        </is>
      </c>
    </row>
    <row r="2774">
      <c r="A2774" t="inlineStr">
        <is>
          <t xml:space="preserve">2026-08-04</t>
        </is>
      </c>
    </row>
    <row r="2775">
      <c r="A2775" t="inlineStr">
        <is>
          <t xml:space="preserve">2026-08-05</t>
        </is>
      </c>
    </row>
    <row r="2776">
      <c r="A2776" t="inlineStr">
        <is>
          <t xml:space="preserve">2026-08-06</t>
        </is>
      </c>
    </row>
    <row r="2777">
      <c r="A2777" t="inlineStr">
        <is>
          <t xml:space="preserve">2026-08-07</t>
        </is>
      </c>
    </row>
    <row r="2778">
      <c r="A2778" t="inlineStr">
        <is>
          <t xml:space="preserve">2026-08-08</t>
        </is>
      </c>
    </row>
    <row r="2779">
      <c r="A2779" t="inlineStr">
        <is>
          <t xml:space="preserve">2026-08-09</t>
        </is>
      </c>
    </row>
    <row r="2780">
      <c r="A2780" t="inlineStr">
        <is>
          <t xml:space="preserve">2026-08-10</t>
        </is>
      </c>
    </row>
    <row r="2781">
      <c r="A2781" t="inlineStr">
        <is>
          <t xml:space="preserve">2026-08-11</t>
        </is>
      </c>
    </row>
    <row r="2782">
      <c r="A2782" t="inlineStr">
        <is>
          <t xml:space="preserve">2026-08-12</t>
        </is>
      </c>
    </row>
    <row r="2783">
      <c r="A2783" t="inlineStr">
        <is>
          <t xml:space="preserve">2026-08-13</t>
        </is>
      </c>
    </row>
    <row r="2784">
      <c r="A2784" t="inlineStr">
        <is>
          <t xml:space="preserve">2026-08-14</t>
        </is>
      </c>
    </row>
    <row r="2785">
      <c r="A2785" t="inlineStr">
        <is>
          <t xml:space="preserve">2026-08-15</t>
        </is>
      </c>
    </row>
    <row r="2786">
      <c r="A2786" t="inlineStr">
        <is>
          <t xml:space="preserve">2026-08-16</t>
        </is>
      </c>
    </row>
    <row r="2787">
      <c r="A2787" t="inlineStr">
        <is>
          <t xml:space="preserve">2026-08-17</t>
        </is>
      </c>
    </row>
    <row r="2788">
      <c r="A2788" t="inlineStr">
        <is>
          <t xml:space="preserve">2026-08-18</t>
        </is>
      </c>
    </row>
    <row r="2789">
      <c r="A2789" t="inlineStr">
        <is>
          <t xml:space="preserve">2026-08-19</t>
        </is>
      </c>
    </row>
    <row r="2790">
      <c r="A2790" t="inlineStr">
        <is>
          <t xml:space="preserve">2026-08-20</t>
        </is>
      </c>
    </row>
    <row r="2791">
      <c r="A2791" t="inlineStr">
        <is>
          <t xml:space="preserve">2026-08-21</t>
        </is>
      </c>
    </row>
    <row r="2792">
      <c r="A2792" t="inlineStr">
        <is>
          <t xml:space="preserve">2026-08-22</t>
        </is>
      </c>
    </row>
    <row r="2793">
      <c r="A2793" t="inlineStr">
        <is>
          <t xml:space="preserve">2026-08-23</t>
        </is>
      </c>
    </row>
    <row r="2794">
      <c r="A2794" t="inlineStr">
        <is>
          <t xml:space="preserve">2026-08-24</t>
        </is>
      </c>
    </row>
    <row r="2795">
      <c r="A2795" t="inlineStr">
        <is>
          <t xml:space="preserve">2026-08-25</t>
        </is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130.18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143.8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143.8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118.9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155.93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127.49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142.75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142.75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109.88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152.75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127.53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141.38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141.38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107.75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150.43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131.54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142.22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142.22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115.4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151.72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140.22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146.68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146.68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121.66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162.23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136.07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145.53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145.53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120.82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167.01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118.15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119.75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119.94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110.39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137.95</v>
      </c>
      <c r="AHX8">
        <v>160.96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86.17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81.22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83.49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79.08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153.6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59.55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55.73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62.44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48.39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140.22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40.76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39.64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50.09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29.8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130.87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26.86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32.58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42.3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23.02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122.53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18.35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30.23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39.48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17.04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122.52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17.3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32.11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38.15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19.29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125.24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23.97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31.97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37.66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20.1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129.1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41.08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37.2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27.41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142.98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155.52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111.12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67.4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67.4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98.15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169.46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149.96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102.68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102.68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137.31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186.93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172.15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142.31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142.31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156.5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192.36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172.21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172.79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172.79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161.29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187.99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163.87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170.72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170.72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161.08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180.47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149.55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156.85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156.85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147.54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167.48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142.62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152.68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152.68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135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171.09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135.25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147.02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147.02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130.32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162.47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-60.96</v>
      </c>
      <c r="C90">
        <v>3.99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28.68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28.64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29.32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30.83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33.37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32.67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27.52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22.12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17.52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14.56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13.22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13.12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15.13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19.7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26.52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35.02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40.93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40.05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37.18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34.33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29.75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F2"/>
  <sheetViews>
    <sheetView showGridLines="0" tabSelected="1" workbookViewId="0"/>
  </sheetViews>
  <sheetFormatPr defaultRowHeight="15"/>
  <cols>
    <col min="1" max="1" width="140" customWidth="1"/>
  </cols>
  <sheetData>
    <row r="1" spans="1:6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</row>
    <row r="2" spans="1:6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</row>
    <row r="3" ht="26" customHeight="1">
      <c r="A3" s="10" t="str">
        <f>IF(ISERROR(DATEVALUE(LEFT($A$2,10))),"!! NOT REFRESHED - this file is showing built-in preview data, not live data. Close it, re-open, and choose Enable when Excel asks about data connections. If that does not fix it, the network is blocking GitHub.","")</f>
      </c>
    </row>
    <row r="4" ht="26" customHeight="1">
      <c r="A4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5" ht="26" customHeight="1">
      <c r="A5" s="10" t="str">
        <f>IF(IFERROR(AND(ISNUMBER($E$2),YEAR(TODAY())-1&gt;$E$2),FALSE),"!! ANNUAL ROLLOVER OVERDUE - charts were built for "&amp;$E$2&amp;", but "&amp;(YEAR(TODAY())-1)&amp;" is now complete. The charts CANNOT show it on refresh - a new year is a new chart series. Replace this file (and the .pptx) with the newest pair from deliverables/ in the repo.","")</f>
      </c>
    </row>
    <row r="6" ht="26" customHeight="1">
      <c r="A6" s="10" t="str">
        <f>IF(OR(ISERROR(DATEVALUE(LEFT($A$2,10))),IFERROR(AND(ISNUMBER($F$2),(TODAY()-DATEVALUE(LEFT($A$2,10)))&gt;$F$2),FALSE),IFERROR(AND(ISNUMBER($E$2),YEAR(TODAY())-1&gt;$E$2),FALSE)),"ACTION: see WORK_MACHINE_SETUP.md in the repo.","")</f>
      </c>
    </row>
    <row r="7" ht="26" customHeight="1">
      <c r="A7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8" ht="26" customHeight="1">
      <c r="A8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0" ht="26" customHeight="1">
      <c r="A10" s="12" t="str">
        <f>"Charts show one series per year up to "&amp;$E$2&amp;". A newly completed year appears only after a rebuild, not on refresh."</f>
      </c>
    </row>
    <row r="11" ht="26" customHeight="1">
      <c r="A11" s="12" t="str">
        <f>"Frozen history ends "&amp;$D$2&amp;"; last complete year in the data is "&amp;$C$2&amp;"."</f>
      </c>
    </row>
  </sheetData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